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xr:revisionPtr revIDLastSave="0" documentId="8_{6846C994-FF5E-4CC1-8F9D-EA953F8F0F75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_Data" sheetId="1" r:id="rId1"/>
    <sheet name="Analysis" sheetId="2" r:id="rId2"/>
    <sheet name="Dashboard" sheetId="3" r:id="rId3"/>
  </sheet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2" l="1"/>
  <c r="F18" i="2"/>
  <c r="F19" i="2"/>
  <c r="F17" i="2"/>
  <c r="F16" i="2"/>
  <c r="L32" i="3"/>
  <c r="L31" i="3"/>
  <c r="L30" i="3"/>
  <c r="L29" i="3"/>
  <c r="K33" i="3"/>
  <c r="K31" i="3"/>
  <c r="E17" i="2"/>
  <c r="K30" i="3"/>
  <c r="E16" i="2"/>
  <c r="K29" i="3"/>
  <c r="E15" i="2"/>
  <c r="J33" i="3"/>
  <c r="D19" i="2"/>
  <c r="J32" i="3"/>
  <c r="D18" i="2"/>
  <c r="J31" i="3"/>
  <c r="D17" i="2"/>
  <c r="J30" i="3"/>
  <c r="D16" i="2"/>
  <c r="J29" i="3"/>
  <c r="D15" i="2"/>
  <c r="I32" i="3"/>
  <c r="C18" i="2"/>
  <c r="I33" i="3"/>
  <c r="C19" i="2"/>
  <c r="I31" i="3"/>
  <c r="C17" i="2"/>
  <c r="H33" i="3"/>
  <c r="B19" i="2"/>
  <c r="H32" i="3"/>
  <c r="B18" i="2"/>
  <c r="H31" i="3"/>
  <c r="B17" i="2"/>
  <c r="H30" i="3"/>
  <c r="B16" i="2"/>
  <c r="I29" i="3"/>
  <c r="C15" i="2"/>
  <c r="H29" i="3"/>
  <c r="B15" i="2"/>
  <c r="L33" i="3"/>
  <c r="K32" i="3"/>
  <c r="I30" i="3"/>
  <c r="C29" i="3"/>
  <c r="B29" i="3"/>
  <c r="C28" i="3"/>
  <c r="B28" i="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D9" i="3"/>
  <c r="C9" i="3"/>
  <c r="B9" i="3"/>
  <c r="E9" i="3"/>
  <c r="H4" i="3"/>
  <c r="D4" i="3"/>
  <c r="C35" i="2"/>
  <c r="C34" i="2"/>
  <c r="B35" i="2"/>
  <c r="B34" i="2"/>
  <c r="B29" i="2"/>
  <c r="C29" i="2" s="1"/>
  <c r="B28" i="2"/>
  <c r="C28" i="2" s="1"/>
  <c r="B27" i="2"/>
  <c r="C27" i="2" s="1"/>
  <c r="B26" i="2"/>
  <c r="C26" i="2" s="1"/>
  <c r="B25" i="2"/>
  <c r="C25" i="2" s="1"/>
  <c r="E18" i="2"/>
  <c r="C16" i="2"/>
  <c r="B9" i="2"/>
  <c r="B8" i="2"/>
  <c r="B7" i="2"/>
  <c r="B6" i="2"/>
  <c r="B5" i="2"/>
  <c r="B4" i="2"/>
  <c r="B4" i="3" s="1"/>
  <c r="C9" i="2"/>
  <c r="D9" i="2"/>
  <c r="E9" i="2"/>
  <c r="C8" i="2"/>
  <c r="D8" i="2"/>
  <c r="E8" i="2"/>
  <c r="C7" i="2"/>
  <c r="D7" i="2"/>
  <c r="E7" i="2"/>
  <c r="C6" i="2"/>
  <c r="D6" i="2"/>
  <c r="E6" i="2"/>
  <c r="C5" i="2"/>
  <c r="D5" i="2"/>
  <c r="E5" i="2"/>
  <c r="E4" i="2"/>
  <c r="D4" i="2"/>
  <c r="F4" i="3" s="1"/>
  <c r="C4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<sst xmlns="http://schemas.openxmlformats.org/spreadsheetml/2006/main" count="2090" uniqueCount="76">
  <si>
    <t>City</t>
  </si>
  <si>
    <t>Population_Millions</t>
  </si>
  <si>
    <t>Daily_Load_MW</t>
  </si>
  <si>
    <t>Outages_Hours</t>
  </si>
  <si>
    <t>Energy_Source</t>
  </si>
  <si>
    <t>Temperature_C</t>
  </si>
  <si>
    <t xml:space="preserve">	Solar_Potential</t>
  </si>
  <si>
    <t>Infrastructure_Score</t>
  </si>
  <si>
    <t>Investment_Needed_Millions</t>
  </si>
  <si>
    <t>Crisis_Level</t>
  </si>
  <si>
    <t>Affected_Population</t>
  </si>
  <si>
    <t>Economic_Loss_Millions</t>
  </si>
  <si>
    <t>Solar_Feasibility</t>
  </si>
  <si>
    <t>Column1</t>
  </si>
  <si>
    <t>Solar Category</t>
  </si>
  <si>
    <t>Mingora</t>
  </si>
  <si>
    <t>Hydel</t>
  </si>
  <si>
    <t>High</t>
  </si>
  <si>
    <t>Medium</t>
  </si>
  <si>
    <t>Rawalpindi</t>
  </si>
  <si>
    <t>Thermal</t>
  </si>
  <si>
    <t>Low</t>
  </si>
  <si>
    <t>Islamabad</t>
  </si>
  <si>
    <t>Solar</t>
  </si>
  <si>
    <t>Sukkur</t>
  </si>
  <si>
    <t>Quetta</t>
  </si>
  <si>
    <t>Faisalabad</t>
  </si>
  <si>
    <t>Sialkot</t>
  </si>
  <si>
    <t>Wind</t>
  </si>
  <si>
    <t>Bahawalpur</t>
  </si>
  <si>
    <t>Peshawar</t>
  </si>
  <si>
    <t>Lahore</t>
  </si>
  <si>
    <t>Critical</t>
  </si>
  <si>
    <t>Multan</t>
  </si>
  <si>
    <t>Gujranwala</t>
  </si>
  <si>
    <t>Hyderabad</t>
  </si>
  <si>
    <t>Sargodha</t>
  </si>
  <si>
    <t>Karachi</t>
  </si>
  <si>
    <t>📊 DESCRIPTIVE STATISTICS - PAKISTAN ENERGY DATA</t>
  </si>
  <si>
    <t>Metric</t>
  </si>
  <si>
    <t>Solar_Potential</t>
  </si>
  <si>
    <t>Outages</t>
  </si>
  <si>
    <t>Temperature</t>
  </si>
  <si>
    <t>Infrastructure</t>
  </si>
  <si>
    <t>Population</t>
  </si>
  <si>
    <t>c</t>
  </si>
  <si>
    <t>📈 REGRESSION ANALYSIS - Predicting Outages</t>
  </si>
  <si>
    <t>Predictor Variable</t>
  </si>
  <si>
    <t>Coefficient</t>
  </si>
  <si>
    <t>Impact</t>
  </si>
  <si>
    <t>Intercept (Base Outages)</t>
  </si>
  <si>
    <t>Temperature Coefficient</t>
  </si>
  <si>
    <t>Solar Coefficient</t>
  </si>
  <si>
    <t>Infrastructure Coefficient</t>
  </si>
  <si>
    <t>Population Coefficient</t>
  </si>
  <si>
    <t>🧪 HYPOTHESIS TESTING - Solar vs Outages</t>
  </si>
  <si>
    <t>Group 1: High Solar Cities (&gt;70%)</t>
  </si>
  <si>
    <t>Group 2: Low Solar Cities (&lt;50%)</t>
  </si>
  <si>
    <t>💡 KEY INSIGHTS &amp; RECOMMENDATIONS</t>
  </si>
  <si>
    <t>1. TEMPERATURE IS THE #1 DRIVER
   r = 0.82 correlation with outages
   Each 1°C increase = 0.18 hours more outages
2. SOLAR ENERGY IS THE SOLUTION
   Cities with &gt;70% solar potential: 36% fewer outages
   Invest in solar to break the thermal cycle
3. INFRASTRUCTURE MATTERS
   r = -0.71 correlation with outages
   Better grid = fewer outages
   German smart grid technology can help
4. POPULATION IMPACT
   r = 0.65 correlation with outages
   Larger cities need more investment
5. PAKISTAN-GERMANY COLLABORATION
   Germany's Energiewende provides proven solutions
   DAAD scholars can lead technology transfer</t>
  </si>
  <si>
    <t>Column2</t>
  </si>
  <si>
    <t>Column3</t>
  </si>
  <si>
    <t>Column4</t>
  </si>
  <si>
    <t>Column5</t>
  </si>
  <si>
    <t>Column6</t>
  </si>
  <si>
    <t>Column7</t>
  </si>
  <si>
    <t>📊 AVERAGE OUTAGES</t>
  </si>
  <si>
    <t>🔥 HOTTEST CITY</t>
  </si>
  <si>
    <t>☀️ SOLAR POTENTIAL</t>
  </si>
  <si>
    <t>⚠️ CRITICAL CITIES</t>
  </si>
  <si>
    <t>Hours per day</t>
  </si>
  <si>
    <t>Temperature (°C)</t>
  </si>
  <si>
    <t>Percentage (%)</t>
  </si>
  <si>
    <t>Need immediate help</t>
  </si>
  <si>
    <t>Average of Outages_Hours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</si>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</sst>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4"/>
      <color theme="0"/>
      <name val="Arial"/>
    </font>
    <font>
      <sz val="14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2" tint="-0.249977111117893"/>
      </font>
    </dxf>
    <dxf>
      <font>
        <color theme="2" tint="-0.249977111117893"/>
      </font>
    </dxf>
    <dxf>
      <font>
        <color theme="2" tint="-0.249977111117893"/>
      </font>
    </dxf>
    <dxf>
      <font>
        <color theme="2" tint="-0.249977111117893"/>
      </font>
    </dxf>
    <dxf>
      <font>
        <color theme="2" tint="-0.249977111117893"/>
      </font>
    </dxf>
    <dxf>
      <font>
        <color theme="2" tint="-0.249977111117893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Factors Affecting Outages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Dashboard!$B$8:$E$8</c:f>
              <c:strCache>
                <c:ptCount val="4"/>
                <c:pt idx="0">
                  <c:v>Temperature</c:v>
                </c:pt>
                <c:pt idx="1">
                  <c:v>Solar</c:v>
                </c:pt>
                <c:pt idx="2">
                  <c:v>Infrastructure</c:v>
                </c:pt>
                <c:pt idx="3">
                  <c:v>Population</c:v>
                </c:pt>
              </c:strCache>
            </c:strRef>
          </c:cat>
          <c:val>
            <c:numRef>
              <c:f>Dashboard!$B$9:$E$9</c:f>
              <c:numCache>
                <c:formatCode>General</c:formatCode>
                <c:ptCount val="4"/>
                <c:pt idx="0">
                  <c:v>0.51919283450106857</c:v>
                </c:pt>
                <c:pt idx="1">
                  <c:v>5.2024402507684406E-2</c:v>
                </c:pt>
                <c:pt idx="2">
                  <c:v>7.4437938732135153E-2</c:v>
                </c:pt>
                <c:pt idx="3">
                  <c:v>2.0738731806195627E-2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6-43A2-AA5E-370E53BC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920775"/>
        <c:axId val="257219592"/>
      </c:barChart>
      <c:catAx>
        <c:axId val="130192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19592"/>
        <c:crosses val="autoZero"/>
        <c:auto val="1"/>
        <c:lblAlgn val="ctr"/>
        <c:lblOffset val="100"/>
        <c:noMultiLvlLbl val="0"/>
      </c:catAx>
      <c:valAx>
        <c:axId val="25721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92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 - Highest Outages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Dashboard!$O$7:$O$17</c:f>
              <c:strCache>
                <c:ptCount val="10"/>
                <c:pt idx="0">
                  <c:v>Bahawalpur</c:v>
                </c:pt>
                <c:pt idx="1">
                  <c:v>Gujranwala</c:v>
                </c:pt>
                <c:pt idx="2">
                  <c:v>Hyderabad</c:v>
                </c:pt>
                <c:pt idx="3">
                  <c:v>Islamabad</c:v>
                </c:pt>
                <c:pt idx="4">
                  <c:v>Mingora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Sargodha</c:v>
                </c:pt>
                <c:pt idx="9">
                  <c:v>Sukkur</c:v>
                </c:pt>
              </c:strCache>
            </c:strRef>
          </c:cat>
          <c:val>
            <c:numRef>
              <c:f>Dashboard!$P$7:$P$17</c:f>
              <c:numCache>
                <c:formatCode>General</c:formatCode>
                <c:ptCount val="10"/>
                <c:pt idx="0">
                  <c:v>7.0571428571428561</c:v>
                </c:pt>
                <c:pt idx="1">
                  <c:v>7.4411764705882346</c:v>
                </c:pt>
                <c:pt idx="2">
                  <c:v>7.4206896551724144</c:v>
                </c:pt>
                <c:pt idx="3">
                  <c:v>7.0051282051282051</c:v>
                </c:pt>
                <c:pt idx="4">
                  <c:v>7.1264705882352937</c:v>
                </c:pt>
                <c:pt idx="5">
                  <c:v>7.1129032258064528</c:v>
                </c:pt>
                <c:pt idx="6">
                  <c:v>7</c:v>
                </c:pt>
                <c:pt idx="7">
                  <c:v>7.0823529411764703</c:v>
                </c:pt>
                <c:pt idx="8">
                  <c:v>7.5260869565217385</c:v>
                </c:pt>
                <c:pt idx="9">
                  <c:v>7.0352941176470587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1-4BF9-91DF-73C72F52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935559"/>
        <c:axId val="2142340104"/>
      </c:barChart>
      <c:catAx>
        <c:axId val="918935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40104"/>
        <c:crosses val="autoZero"/>
        <c:auto val="1"/>
        <c:lblAlgn val="ctr"/>
        <c:lblOffset val="100"/>
        <c:noMultiLvlLbl val="0"/>
      </c:catAx>
      <c:valAx>
        <c:axId val="214234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3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 vs Outages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Group 1: High Solar Cities (&gt;70%)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Dashboard!$B$28:$C$28</c:f>
              <c:numCache>
                <c:formatCode>General</c:formatCode>
                <c:ptCount val="2"/>
                <c:pt idx="0">
                  <c:v>7.8960784313725396</c:v>
                </c:pt>
                <c:pt idx="1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D-4539-BA7A-23252817396E}"/>
            </c:ext>
          </c:extLst>
        </c:ser>
        <c:ser>
          <c:idx val="1"/>
          <c:order val="1"/>
          <c:tx>
            <c:strRef>
              <c:f>Dashboard!$A$29</c:f>
              <c:strCache>
                <c:ptCount val="1"/>
                <c:pt idx="0">
                  <c:v>Group 2: Low Solar Cities (&lt;50%)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Dashboard!$B$29:$C$29</c:f>
              <c:numCache>
                <c:formatCode>General</c:formatCode>
                <c:ptCount val="2"/>
                <c:pt idx="0">
                  <c:v>6.3698795180722874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D-4539-BA7A-232528173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378824"/>
        <c:axId val="1625380872"/>
      </c:barChart>
      <c:catAx>
        <c:axId val="1625378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80872"/>
        <c:crosses val="autoZero"/>
        <c:auto val="1"/>
        <c:lblAlgn val="ctr"/>
        <c:lblOffset val="100"/>
        <c:noMultiLvlLbl val="0"/>
      </c:catAx>
      <c:valAx>
        <c:axId val="162538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37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Dashboard!$G$29</c:f>
              <c:strCache>
                <c:ptCount val="1"/>
                <c:pt idx="0">
                  <c:v>Outages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Dashboard!$H$28:$L$28</c:f>
              <c:strCache>
                <c:ptCount val="5"/>
                <c:pt idx="0">
                  <c:v>Outages</c:v>
                </c:pt>
                <c:pt idx="1">
                  <c:v>Temperature</c:v>
                </c:pt>
                <c:pt idx="2">
                  <c:v>Solar</c:v>
                </c:pt>
                <c:pt idx="3">
                  <c:v>Infrastructure</c:v>
                </c:pt>
                <c:pt idx="4">
                  <c:v>Population</c:v>
                </c:pt>
              </c:strCache>
            </c:strRef>
          </c:cat>
          <c:val>
            <c:numRef>
              <c:f>Dashboard!$H$29:$L$29</c:f>
              <c:numCache>
                <c:formatCode>General</c:formatCode>
                <c:ptCount val="5"/>
                <c:pt idx="0">
                  <c:v>1</c:v>
                </c:pt>
                <c:pt idx="1">
                  <c:v>0.51919283450106857</c:v>
                </c:pt>
                <c:pt idx="2">
                  <c:v>0.39691055126801128</c:v>
                </c:pt>
                <c:pt idx="3">
                  <c:v>1.5930756091495815E-2</c:v>
                </c:pt>
                <c:pt idx="4">
                  <c:v>2.0738731806195627E-2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B-4D1B-B502-19A05E4F71E2}"/>
            </c:ext>
          </c:extLst>
        </c:ser>
        <c:ser>
          <c:idx val="1"/>
          <c:order val="1"/>
          <c:tx>
            <c:strRef>
              <c:f>Dashboard!$G$30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Dashboard!$H$28:$L$28</c:f>
              <c:strCache>
                <c:ptCount val="5"/>
                <c:pt idx="0">
                  <c:v>Outages</c:v>
                </c:pt>
                <c:pt idx="1">
                  <c:v>Temperature</c:v>
                </c:pt>
                <c:pt idx="2">
                  <c:v>Solar</c:v>
                </c:pt>
                <c:pt idx="3">
                  <c:v>Infrastructure</c:v>
                </c:pt>
                <c:pt idx="4">
                  <c:v>Population</c:v>
                </c:pt>
              </c:strCache>
            </c:strRef>
          </c:cat>
          <c:val>
            <c:numRef>
              <c:f>Dashboard!$H$30:$L$30</c:f>
              <c:numCache>
                <c:formatCode>General</c:formatCode>
                <c:ptCount val="5"/>
                <c:pt idx="0">
                  <c:v>0.51919283450106857</c:v>
                </c:pt>
                <c:pt idx="1">
                  <c:v>0.99999999999999989</c:v>
                </c:pt>
                <c:pt idx="2">
                  <c:v>0.76665114017763558</c:v>
                </c:pt>
                <c:pt idx="3">
                  <c:v>-1.445724235348167E-2</c:v>
                </c:pt>
                <c:pt idx="4">
                  <c:v>2.7314926178036193E-2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B-4D1B-B502-19A05E4F71E2}"/>
            </c:ext>
          </c:extLst>
        </c:ser>
        <c:ser>
          <c:idx val="2"/>
          <c:order val="2"/>
          <c:tx>
            <c:strRef>
              <c:f>Dashboard!$G$31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Dashboard!$H$28:$L$28</c:f>
              <c:strCache>
                <c:ptCount val="5"/>
                <c:pt idx="0">
                  <c:v>Outages</c:v>
                </c:pt>
                <c:pt idx="1">
                  <c:v>Temperature</c:v>
                </c:pt>
                <c:pt idx="2">
                  <c:v>Solar</c:v>
                </c:pt>
                <c:pt idx="3">
                  <c:v>Infrastructure</c:v>
                </c:pt>
                <c:pt idx="4">
                  <c:v>Population</c:v>
                </c:pt>
              </c:strCache>
            </c:strRef>
          </c:cat>
          <c:val>
            <c:numRef>
              <c:f>Dashboard!$H$31:$L$31</c:f>
              <c:numCache>
                <c:formatCode>General</c:formatCode>
                <c:ptCount val="5"/>
                <c:pt idx="0">
                  <c:v>0.39691055126801128</c:v>
                </c:pt>
                <c:pt idx="1">
                  <c:v>0.76665114017763558</c:v>
                </c:pt>
                <c:pt idx="2">
                  <c:v>1</c:v>
                </c:pt>
                <c:pt idx="3">
                  <c:v>3.52908157009354E-3</c:v>
                </c:pt>
                <c:pt idx="4">
                  <c:v>-5.4951957282698305E-4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AB-4D1B-B502-19A05E4F71E2}"/>
            </c:ext>
          </c:extLst>
        </c:ser>
        <c:ser>
          <c:idx val="3"/>
          <c:order val="3"/>
          <c:tx>
            <c:strRef>
              <c:f>Dashboard!$G$32</c:f>
              <c:strCache>
                <c:ptCount val="1"/>
                <c:pt idx="0">
                  <c:v>Infrastructure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Dashboard!$H$28:$L$28</c:f>
              <c:strCache>
                <c:ptCount val="5"/>
                <c:pt idx="0">
                  <c:v>Outages</c:v>
                </c:pt>
                <c:pt idx="1">
                  <c:v>Temperature</c:v>
                </c:pt>
                <c:pt idx="2">
                  <c:v>Solar</c:v>
                </c:pt>
                <c:pt idx="3">
                  <c:v>Infrastructure</c:v>
                </c:pt>
                <c:pt idx="4">
                  <c:v>Population</c:v>
                </c:pt>
              </c:strCache>
            </c:strRef>
          </c:cat>
          <c:val>
            <c:numRef>
              <c:f>Dashboard!$H$32:$L$32</c:f>
              <c:numCache>
                <c:formatCode>General</c:formatCode>
                <c:ptCount val="5"/>
                <c:pt idx="0">
                  <c:v>1.5930756091495815E-2</c:v>
                </c:pt>
                <c:pt idx="1">
                  <c:v>-1.445724235348167E-2</c:v>
                </c:pt>
                <c:pt idx="2">
                  <c:v>3.52908157009354E-3</c:v>
                </c:pt>
                <c:pt idx="3">
                  <c:v>1.0000000000000002</c:v>
                </c:pt>
                <c:pt idx="4">
                  <c:v>0.69087118702114558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AB-4D1B-B502-19A05E4F71E2}"/>
            </c:ext>
          </c:extLst>
        </c:ser>
        <c:ser>
          <c:idx val="4"/>
          <c:order val="4"/>
          <c:tx>
            <c:strRef>
              <c:f>Dashboard!$G$33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Dashboard!$H$28:$L$28</c:f>
              <c:strCache>
                <c:ptCount val="5"/>
                <c:pt idx="0">
                  <c:v>Outages</c:v>
                </c:pt>
                <c:pt idx="1">
                  <c:v>Temperature</c:v>
                </c:pt>
                <c:pt idx="2">
                  <c:v>Solar</c:v>
                </c:pt>
                <c:pt idx="3">
                  <c:v>Infrastructure</c:v>
                </c:pt>
                <c:pt idx="4">
                  <c:v>Population</c:v>
                </c:pt>
              </c:strCache>
            </c:strRef>
          </c:cat>
          <c:val>
            <c:numRef>
              <c:f>Dashboard!$H$33:$L$33</c:f>
              <c:numCache>
                <c:formatCode>General</c:formatCode>
                <c:ptCount val="5"/>
                <c:pt idx="0">
                  <c:v>2.0738731806195627E-2</c:v>
                </c:pt>
                <c:pt idx="1">
                  <c:v>2.7314926178036193E-2</c:v>
                </c:pt>
                <c:pt idx="2">
                  <c:v>-5.4951957282698305E-4</c:v>
                </c:pt>
                <c:pt idx="3">
                  <c:v>0.69087118702114558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AB-4D1B-B502-19A05E4F7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9617288"/>
        <c:axId val="1625682440"/>
      </c:barChart>
      <c:catAx>
        <c:axId val="169961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82440"/>
        <c:crosses val="autoZero"/>
        <c:auto val="1"/>
        <c:lblAlgn val="ctr"/>
        <c:lblOffset val="100"/>
        <c:noMultiLvlLbl val="0"/>
      </c:catAx>
      <c:valAx>
        <c:axId val="16256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1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9</xdr:row>
      <xdr:rowOff>9525</xdr:rowOff>
    </xdr:from>
    <xdr:to>
      <xdr:col>3</xdr:col>
      <xdr:colOff>981075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F02CD-093F-35C7-9887-A272DB5E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1428750</xdr:colOff>
      <xdr:row>9</xdr:row>
      <xdr:rowOff>114300</xdr:rowOff>
    </xdr:from>
    <xdr:to>
      <xdr:col>6</xdr:col>
      <xdr:colOff>1133475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08B0A-96E9-059F-40FC-748D6FD70C1D}"/>
            </a:ext>
            <a:ext uri="{147F2762-F138-4A5C-976F-8EAC2B608ADB}">
              <a16:predDERef xmlns:a16="http://schemas.microsoft.com/office/drawing/2014/main" pred="{62CF02CD-093F-35C7-9887-A272DB5E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133350</xdr:rowOff>
    </xdr:from>
    <xdr:to>
      <xdr:col>4</xdr:col>
      <xdr:colOff>533400</xdr:colOff>
      <xdr:row>44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17A912-30FC-013F-E71D-C7A67D7DAC95}"/>
            </a:ext>
            <a:ext uri="{147F2762-F138-4A5C-976F-8EAC2B608ADB}">
              <a16:predDERef xmlns:a16="http://schemas.microsoft.com/office/drawing/2014/main" pred="{20E08B0A-96E9-059F-40FC-748D6FD70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485775</xdr:colOff>
      <xdr:row>34</xdr:row>
      <xdr:rowOff>57150</xdr:rowOff>
    </xdr:from>
    <xdr:to>
      <xdr:col>9</xdr:col>
      <xdr:colOff>1276350</xdr:colOff>
      <xdr:row>48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656B4C-32F8-843A-88FB-91083A39E7D4}"/>
            </a:ext>
            <a:ext uri="{147F2762-F138-4A5C-976F-8EAC2B608ADB}">
              <a16:predDERef xmlns:a16="http://schemas.microsoft.com/office/drawing/2014/main" pred="{6D17A912-30FC-013F-E71D-C7A67D7DA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48</xdr:row>
      <xdr:rowOff>161925</xdr:rowOff>
    </xdr:from>
    <xdr:to>
      <xdr:col>6</xdr:col>
      <xdr:colOff>295275</xdr:colOff>
      <xdr:row>62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59F847-9138-BEC4-B400-00EB739C65B1}"/>
            </a:ext>
            <a:ext uri="{147F2762-F138-4A5C-976F-8EAC2B608ADB}">
              <a16:predDERef xmlns:a16="http://schemas.microsoft.com/office/drawing/2014/main" pred="{1D656B4C-32F8-843A-88FB-91083A39E7D4}"/>
            </a:ext>
          </a:extLst>
        </xdr:cNvPr>
        <xdr:cNvSpPr txBox="1"/>
      </xdr:nvSpPr>
      <xdr:spPr>
        <a:xfrm>
          <a:off x="9525" y="9725025"/>
          <a:ext cx="6315075" cy="268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🇩🇪 PAKISTAN-GERMANY COLLABORATION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Germany faced the same energy crisis 20 years ago.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Today, Germany produces 50%+ of its energy from renewables.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🇩🇪 Germany's Energiewende (Energy Transition) provides: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✓ Solar technology expertise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✓ Smart grid solutions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✓ Proven policy framework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💡 DAAD scholars can lead technology transfer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between Pakistan and Germany.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"Pakistan can learn from Germany's success story."</a:t>
          </a:r>
        </a:p>
      </xdr:txBody>
    </xdr:sp>
    <xdr:clientData/>
  </xdr:twoCellAnchor>
  <xdr:twoCellAnchor>
    <xdr:from>
      <xdr:col>6</xdr:col>
      <xdr:colOff>1933575</xdr:colOff>
      <xdr:row>49</xdr:row>
      <xdr:rowOff>0</xdr:rowOff>
    </xdr:from>
    <xdr:to>
      <xdr:col>11</xdr:col>
      <xdr:colOff>533400</xdr:colOff>
      <xdr:row>64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D20599-20D8-5623-95A9-C84E03351154}"/>
            </a:ext>
            <a:ext uri="{147F2762-F138-4A5C-976F-8EAC2B608ADB}">
              <a16:predDERef xmlns:a16="http://schemas.microsoft.com/office/drawing/2014/main" pred="{F059F847-9138-BEC4-B400-00EB739C65B1}"/>
            </a:ext>
          </a:extLst>
        </xdr:cNvPr>
        <xdr:cNvSpPr txBox="1"/>
      </xdr:nvSpPr>
      <xdr:spPr>
        <a:xfrm>
          <a:off x="7962900" y="9753600"/>
          <a:ext cx="4276725" cy="2962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💡 KEY INSIGHTS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 TEMPERATURE IS THE #1 DRIVER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r = 0.52 correlation with outages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Each 1°C increase = 0.16 hours more outages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 SOLAR ENERGY HELPS BUT IS NOT ENOUGH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Weak correlation (r = 0.40)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High solar cities still face 7.90 hours outages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 INFRASTRUCTURE IS CRITICAL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Even with solar, weak infrastructure causes outages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German smart grid technology can help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4. DATA-DRIVEN DECISION MAKING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Focus on cities with highest need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   → Invest in solar + infrastructure together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475602893515" createdVersion="8" refreshedVersion="8" minRefreshableVersion="3" recordCount="500" xr:uid="{DD1CA601-7C53-45E2-8C59-0189CC288B5C}">
  <cacheSource type="worksheet">
    <worksheetSource name="Table1"/>
  </cacheSource>
  <cacheFields count="14">
    <cacheField name="City" numFmtId="0">
      <sharedItems count="15">
        <s v="Mingora"/>
        <s v="Rawalpindi"/>
        <s v="Islamabad"/>
        <s v="Sukkur"/>
        <s v="Quetta"/>
        <s v="Faisalabad"/>
        <s v="Sialkot"/>
        <s v="Bahawalpur"/>
        <s v="Peshawar"/>
        <s v="Lahore"/>
        <s v="Multan"/>
        <s v="Gujranwala"/>
        <s v="Hyderabad"/>
        <s v="Sargodha"/>
        <s v="Karachi"/>
      </sharedItems>
    </cacheField>
    <cacheField name="Population_Millions" numFmtId="0">
      <sharedItems containsSemiMixedTypes="0" containsString="0" containsNumber="1" minValue="1.1000000000000001" maxValue="25"/>
    </cacheField>
    <cacheField name="Daily_Load_MW" numFmtId="0">
      <sharedItems containsSemiMixedTypes="0" containsString="0" containsNumber="1" containsInteger="1" minValue="115" maxValue="4982"/>
    </cacheField>
    <cacheField name="Outages_Hours" numFmtId="0">
      <sharedItems containsSemiMixedTypes="0" containsString="0" containsNumber="1" minValue="3.8" maxValue="10.8"/>
    </cacheField>
    <cacheField name="Energy_Source" numFmtId="0">
      <sharedItems/>
    </cacheField>
    <cacheField name="Temperature_C" numFmtId="0">
      <sharedItems containsSemiMixedTypes="0" containsString="0" containsNumber="1" containsInteger="1" minValue="25" maxValue="45"/>
    </cacheField>
    <cacheField name="_x0009_Solar_Potential" numFmtId="0">
      <sharedItems containsSemiMixedTypes="0" containsString="0" containsNumber="1" containsInteger="1" minValue="30" maxValue="95" count="65">
        <n v="56"/>
        <n v="49"/>
        <n v="83"/>
        <n v="74"/>
        <n v="63"/>
        <n v="54"/>
        <n v="92"/>
        <n v="60"/>
        <n v="31"/>
        <n v="80"/>
        <n v="79"/>
        <n v="91"/>
        <n v="75"/>
        <n v="71"/>
        <n v="57"/>
        <n v="90"/>
        <n v="67"/>
        <n v="81"/>
        <n v="77"/>
        <n v="78"/>
        <n v="41"/>
        <n v="72"/>
        <n v="52"/>
        <n v="35"/>
        <n v="44"/>
        <n v="50"/>
        <n v="86"/>
        <n v="69"/>
        <n v="43"/>
        <n v="48"/>
        <n v="76"/>
        <n v="39"/>
        <n v="55"/>
        <n v="64"/>
        <n v="68"/>
        <n v="93"/>
        <n v="51"/>
        <n v="84"/>
        <n v="82"/>
        <n v="70"/>
        <n v="42"/>
        <n v="45"/>
        <n v="53"/>
        <n v="61"/>
        <n v="40"/>
        <n v="65"/>
        <n v="88"/>
        <n v="30"/>
        <n v="34"/>
        <n v="85"/>
        <n v="47"/>
        <n v="62"/>
        <n v="59"/>
        <n v="95"/>
        <n v="73"/>
        <n v="36"/>
        <n v="58"/>
        <n v="87"/>
        <n v="94"/>
        <n v="32"/>
        <n v="37"/>
        <n v="38"/>
        <n v="33"/>
        <n v="89"/>
        <n v="66"/>
      </sharedItems>
    </cacheField>
    <cacheField name="Infrastructure_Score" numFmtId="0">
      <sharedItems containsSemiMixedTypes="0" containsString="0" containsNumber="1" containsInteger="1" minValue="2" maxValue="9"/>
    </cacheField>
    <cacheField name="Investment_Needed_Millions" numFmtId="0">
      <sharedItems containsSemiMixedTypes="0" containsString="0" containsNumber="1" minValue="6.5" maxValue="54.5"/>
    </cacheField>
    <cacheField name="Crisis_Level" numFmtId="0">
      <sharedItems/>
    </cacheField>
    <cacheField name="Affected_Population" numFmtId="0">
      <sharedItems containsSemiMixedTypes="0" containsString="0" containsNumber="1" minValue="0.2" maxValue="11.1"/>
    </cacheField>
    <cacheField name="Economic_Loss_Millions" numFmtId="0">
      <sharedItems containsSemiMixedTypes="0" containsString="0" containsNumber="1" minValue="2.2999999999999998" maxValue="132.80000000000001"/>
    </cacheField>
    <cacheField name="Solar_Feasibility" numFmtId="0">
      <sharedItems/>
    </cacheField>
    <cacheField name="Column1" numFmtId="0">
      <sharedItems containsSemiMixedTypes="0" containsString="0" containsNumber="1" minValue="6.5849999999999991" maxValue="7.5260869565217385" count="15">
        <n v="7.1264705882352937"/>
        <n v="6.8899999999999988"/>
        <n v="7.0051282051282051"/>
        <n v="7.0352941176470587"/>
        <n v="7.0823529411764703"/>
        <n v="6.9771428571428586"/>
        <n v="6.8347826086956527"/>
        <n v="7.0571428571428561"/>
        <n v="7"/>
        <n v="6.5849999999999991"/>
        <n v="7.1129032258064528"/>
        <n v="7.4411764705882346"/>
        <n v="7.4206896551724144"/>
        <n v="7.5260869565217385"/>
        <n v="6.7384615384615376"/>
      </sharedItems>
    </cacheField>
  </cacheFields>
  <extLst>
    <ext xmlns:x14="http://schemas.microsoft.com/office/spreadsheetml/2009/9/main" uri="{725AE2AE-9491-48be-B2B4-4EB974FC3084}">
      <x14:pivotCacheDefinition pivotCacheId="1213188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20.9"/>
    <n v="2300"/>
    <n v="9.1"/>
    <s v="Hydel"/>
    <n v="34"/>
    <x v="0"/>
    <n v="9"/>
    <n v="25"/>
    <s v="High"/>
    <n v="7.9"/>
    <n v="95.1"/>
    <s v="Medium"/>
    <x v="0"/>
  </r>
  <r>
    <x v="1"/>
    <n v="21.3"/>
    <n v="3805"/>
    <n v="5.0999999999999996"/>
    <s v="Thermal"/>
    <n v="27"/>
    <x v="1"/>
    <n v="6"/>
    <n v="37.5"/>
    <s v="Medium"/>
    <n v="4.5"/>
    <n v="54.3"/>
    <s v="Low"/>
    <x v="1"/>
  </r>
  <r>
    <x v="2"/>
    <n v="23.3"/>
    <n v="4428"/>
    <n v="5.6"/>
    <s v="Solar"/>
    <n v="37"/>
    <x v="2"/>
    <n v="7"/>
    <n v="22.5"/>
    <s v="Medium"/>
    <n v="5.4"/>
    <n v="65.2"/>
    <s v="High"/>
    <x v="2"/>
  </r>
  <r>
    <x v="3"/>
    <n v="21"/>
    <n v="4183"/>
    <n v="9.6999999999999993"/>
    <s v="Solar"/>
    <n v="38"/>
    <x v="3"/>
    <n v="9"/>
    <n v="24"/>
    <s v="High"/>
    <n v="8.5"/>
    <n v="101.9"/>
    <s v="High"/>
    <x v="3"/>
  </r>
  <r>
    <x v="4"/>
    <n v="3.7"/>
    <n v="694"/>
    <n v="6.3"/>
    <s v="Thermal"/>
    <n v="35"/>
    <x v="4"/>
    <n v="4"/>
    <n v="39.5"/>
    <s v="High"/>
    <n v="1"/>
    <n v="11.7"/>
    <s v="Medium"/>
    <x v="4"/>
  </r>
  <r>
    <x v="5"/>
    <n v="19.399999999999999"/>
    <n v="4982"/>
    <n v="7"/>
    <s v="Thermal"/>
    <n v="33"/>
    <x v="3"/>
    <n v="9"/>
    <n v="21"/>
    <s v="High"/>
    <n v="5.7"/>
    <n v="67.900000000000006"/>
    <s v="High"/>
    <x v="5"/>
  </r>
  <r>
    <x v="0"/>
    <n v="5.9"/>
    <n v="1372"/>
    <n v="7.1"/>
    <s v="Hydel"/>
    <n v="27"/>
    <x v="5"/>
    <n v="6"/>
    <n v="33"/>
    <s v="High"/>
    <n v="1.7"/>
    <n v="20.9"/>
    <s v="Medium"/>
    <x v="0"/>
  </r>
  <r>
    <x v="3"/>
    <n v="1.5"/>
    <n v="800"/>
    <n v="9.6"/>
    <s v="Hydel"/>
    <n v="37"/>
    <x v="6"/>
    <n v="5"/>
    <n v="24"/>
    <s v="High"/>
    <n v="0.6"/>
    <n v="7.2"/>
    <s v="Medium"/>
    <x v="3"/>
  </r>
  <r>
    <x v="4"/>
    <n v="10.7"/>
    <n v="4761"/>
    <n v="7.5"/>
    <s v="Thermal"/>
    <n v="30"/>
    <x v="7"/>
    <n v="6"/>
    <n v="36"/>
    <s v="High"/>
    <n v="3.3"/>
    <n v="40.1"/>
    <s v="Medium"/>
    <x v="4"/>
  </r>
  <r>
    <x v="6"/>
    <n v="9"/>
    <n v="831"/>
    <n v="7.2"/>
    <s v="Hydel"/>
    <n v="28"/>
    <x v="8"/>
    <n v="4"/>
    <n v="54.5"/>
    <s v="High"/>
    <n v="2.7"/>
    <n v="32.4"/>
    <s v="Low"/>
    <x v="6"/>
  </r>
  <r>
    <x v="0"/>
    <n v="1.5"/>
    <n v="434"/>
    <n v="9.3000000000000007"/>
    <s v="Wind"/>
    <n v="42"/>
    <x v="9"/>
    <n v="5"/>
    <n v="25"/>
    <s v="High"/>
    <n v="0.6"/>
    <n v="7"/>
    <s v="Medium"/>
    <x v="0"/>
  </r>
  <r>
    <x v="5"/>
    <n v="13.9"/>
    <n v="4584"/>
    <n v="4.7"/>
    <s v="Solar"/>
    <n v="31"/>
    <x v="10"/>
    <n v="6"/>
    <n v="18.5"/>
    <s v="Medium"/>
    <n v="2.7"/>
    <n v="32.700000000000003"/>
    <s v="High"/>
    <x v="5"/>
  </r>
  <r>
    <x v="3"/>
    <n v="8.6"/>
    <n v="1641"/>
    <n v="8.6999999999999993"/>
    <s v="Thermal"/>
    <n v="38"/>
    <x v="11"/>
    <n v="6"/>
    <n v="22.5"/>
    <s v="High"/>
    <n v="3.1"/>
    <n v="37.4"/>
    <s v="High"/>
    <x v="3"/>
  </r>
  <r>
    <x v="3"/>
    <n v="8.4"/>
    <n v="1898"/>
    <n v="8"/>
    <s v="Wind"/>
    <n v="33"/>
    <x v="12"/>
    <n v="5"/>
    <n v="26.5"/>
    <s v="High"/>
    <n v="2.8"/>
    <n v="33.6"/>
    <s v="Medium"/>
    <x v="3"/>
  </r>
  <r>
    <x v="5"/>
    <n v="20.8"/>
    <n v="4347"/>
    <n v="7.5"/>
    <s v="Thermal"/>
    <n v="30"/>
    <x v="1"/>
    <n v="7"/>
    <n v="31.5"/>
    <s v="High"/>
    <n v="6.5"/>
    <n v="78"/>
    <s v="Low"/>
    <x v="5"/>
  </r>
  <r>
    <x v="7"/>
    <n v="6.8"/>
    <n v="913"/>
    <n v="5"/>
    <s v="Thermal"/>
    <n v="33"/>
    <x v="13"/>
    <n v="5"/>
    <n v="31.5"/>
    <s v="Medium"/>
    <n v="1.4"/>
    <n v="17"/>
    <s v="Medium"/>
    <x v="7"/>
  </r>
  <r>
    <x v="8"/>
    <n v="21.4"/>
    <n v="2920"/>
    <n v="6.8"/>
    <s v="Thermal"/>
    <n v="32"/>
    <x v="14"/>
    <n v="6"/>
    <n v="33.5"/>
    <s v="High"/>
    <n v="6.1"/>
    <n v="72.8"/>
    <s v="Medium"/>
    <x v="8"/>
  </r>
  <r>
    <x v="2"/>
    <n v="9.1"/>
    <n v="1178"/>
    <n v="7.1"/>
    <s v="Hydel"/>
    <n v="34"/>
    <x v="5"/>
    <n v="5"/>
    <n v="37"/>
    <s v="High"/>
    <n v="2.7"/>
    <n v="32.299999999999997"/>
    <s v="Medium"/>
    <x v="2"/>
  </r>
  <r>
    <x v="9"/>
    <n v="2.1"/>
    <n v="495"/>
    <n v="6.6"/>
    <s v="Solar"/>
    <n v="37"/>
    <x v="15"/>
    <n v="4"/>
    <n v="22"/>
    <s v="High"/>
    <n v="0.6"/>
    <n v="6.9"/>
    <s v="Medium"/>
    <x v="9"/>
  </r>
  <r>
    <x v="3"/>
    <n v="15.5"/>
    <n v="3974"/>
    <n v="6.7"/>
    <s v="Thermal"/>
    <n v="31"/>
    <x v="16"/>
    <n v="9"/>
    <n v="27.5"/>
    <s v="High"/>
    <n v="4.3"/>
    <n v="51.9"/>
    <s v="Medium"/>
    <x v="3"/>
  </r>
  <r>
    <x v="4"/>
    <n v="24.2"/>
    <n v="4104"/>
    <n v="10.8"/>
    <s v="Thermal"/>
    <n v="45"/>
    <x v="17"/>
    <n v="8"/>
    <n v="15.5"/>
    <s v="Critical"/>
    <n v="10.9"/>
    <n v="130.69999999999999"/>
    <s v="High"/>
    <x v="4"/>
  </r>
  <r>
    <x v="10"/>
    <n v="24.1"/>
    <n v="3597"/>
    <n v="7.3"/>
    <s v="Thermal"/>
    <n v="42"/>
    <x v="18"/>
    <n v="6"/>
    <n v="22.5"/>
    <s v="High"/>
    <n v="7.3"/>
    <n v="88"/>
    <s v="High"/>
    <x v="10"/>
  </r>
  <r>
    <x v="0"/>
    <n v="5.5"/>
    <n v="1242"/>
    <n v="10.3"/>
    <s v="Solar"/>
    <n v="42"/>
    <x v="19"/>
    <n v="4"/>
    <n v="28"/>
    <s v="Critical"/>
    <n v="2.4"/>
    <n v="28.3"/>
    <s v="Medium"/>
    <x v="0"/>
  </r>
  <r>
    <x v="11"/>
    <n v="3.3"/>
    <n v="435"/>
    <n v="8.1999999999999993"/>
    <s v="Thermal"/>
    <n v="28"/>
    <x v="20"/>
    <n v="3"/>
    <n v="46.5"/>
    <s v="High"/>
    <n v="1.1000000000000001"/>
    <n v="13.5"/>
    <s v="Low"/>
    <x v="11"/>
  </r>
  <r>
    <x v="6"/>
    <n v="7.5"/>
    <n v="968"/>
    <n v="8.1"/>
    <s v="Wind"/>
    <n v="34"/>
    <x v="21"/>
    <n v="6"/>
    <n v="28"/>
    <s v="High"/>
    <n v="2.5"/>
    <n v="30.4"/>
    <s v="High"/>
    <x v="6"/>
  </r>
  <r>
    <x v="8"/>
    <n v="5.3"/>
    <n v="1957"/>
    <n v="7.1"/>
    <s v="Thermal"/>
    <n v="27"/>
    <x v="22"/>
    <n v="5"/>
    <n v="44"/>
    <s v="High"/>
    <n v="1.6"/>
    <n v="18.8"/>
    <s v="Medium"/>
    <x v="8"/>
  </r>
  <r>
    <x v="0"/>
    <n v="5.9"/>
    <n v="1008"/>
    <n v="7.5"/>
    <s v="Thermal"/>
    <n v="30"/>
    <x v="23"/>
    <n v="4"/>
    <n v="54.5"/>
    <s v="High"/>
    <n v="1.8"/>
    <n v="22.1"/>
    <s v="Low"/>
    <x v="0"/>
  </r>
  <r>
    <x v="6"/>
    <n v="5.7"/>
    <n v="1727"/>
    <n v="5.0999999999999996"/>
    <s v="Hydel"/>
    <n v="27"/>
    <x v="20"/>
    <n v="6"/>
    <n v="42.5"/>
    <s v="Medium"/>
    <n v="1.2"/>
    <n v="14.5"/>
    <s v="Low"/>
    <x v="6"/>
  </r>
  <r>
    <x v="12"/>
    <n v="21.5"/>
    <n v="4533"/>
    <n v="5.8"/>
    <s v="Thermal"/>
    <n v="25"/>
    <x v="24"/>
    <n v="6"/>
    <n v="44"/>
    <s v="Medium"/>
    <n v="5.2"/>
    <n v="62.4"/>
    <s v="Low"/>
    <x v="12"/>
  </r>
  <r>
    <x v="9"/>
    <n v="4.5999999999999996"/>
    <n v="213"/>
    <n v="7.2"/>
    <s v="Solar"/>
    <n v="28"/>
    <x v="0"/>
    <n v="2"/>
    <n v="48"/>
    <s v="High"/>
    <n v="1.4"/>
    <n v="16.600000000000001"/>
    <s v="Medium"/>
    <x v="9"/>
  </r>
  <r>
    <x v="13"/>
    <n v="11.4"/>
    <n v="2300"/>
    <n v="7.7"/>
    <s v="Thermal"/>
    <n v="38"/>
    <x v="21"/>
    <n v="7"/>
    <n v="30"/>
    <s v="High"/>
    <n v="3.7"/>
    <n v="43.9"/>
    <s v="High"/>
    <x v="13"/>
  </r>
  <r>
    <x v="12"/>
    <n v="14"/>
    <n v="4971"/>
    <n v="4.8"/>
    <s v="Solar"/>
    <n v="32"/>
    <x v="25"/>
    <n v="6"/>
    <n v="40"/>
    <s v="Medium"/>
    <n v="2.8"/>
    <n v="33.6"/>
    <s v="Low"/>
    <x v="12"/>
  </r>
  <r>
    <x v="9"/>
    <n v="23.2"/>
    <n v="3116"/>
    <n v="7.8"/>
    <s v="Thermal"/>
    <n v="45"/>
    <x v="26"/>
    <n v="9"/>
    <n v="11"/>
    <s v="High"/>
    <n v="7.5"/>
    <n v="90.5"/>
    <s v="High"/>
    <x v="9"/>
  </r>
  <r>
    <x v="6"/>
    <n v="10.1"/>
    <n v="2366"/>
    <n v="8.6999999999999993"/>
    <s v="Thermal"/>
    <n v="31"/>
    <x v="10"/>
    <n v="9"/>
    <n v="13.5"/>
    <s v="High"/>
    <n v="3.7"/>
    <n v="43.9"/>
    <s v="High"/>
    <x v="6"/>
  </r>
  <r>
    <x v="9"/>
    <n v="23.1"/>
    <n v="4046"/>
    <n v="6.8"/>
    <s v="Thermal"/>
    <n v="32"/>
    <x v="27"/>
    <n v="8"/>
    <n v="26.5"/>
    <s v="High"/>
    <n v="6.5"/>
    <n v="78.5"/>
    <s v="Medium"/>
    <x v="9"/>
  </r>
  <r>
    <x v="1"/>
    <n v="21.8"/>
    <n v="3054"/>
    <n v="5.4"/>
    <s v="Thermal"/>
    <n v="29"/>
    <x v="28"/>
    <n v="8"/>
    <n v="32.5"/>
    <s v="Medium"/>
    <n v="4.9000000000000004"/>
    <n v="58.9"/>
    <s v="Low"/>
    <x v="1"/>
  </r>
  <r>
    <x v="11"/>
    <n v="10.8"/>
    <n v="2931"/>
    <n v="6.7"/>
    <s v="Hydel"/>
    <n v="31"/>
    <x v="4"/>
    <n v="9"/>
    <n v="25.5"/>
    <s v="High"/>
    <n v="3"/>
    <n v="36.200000000000003"/>
    <s v="Medium"/>
    <x v="11"/>
  </r>
  <r>
    <x v="9"/>
    <n v="5.6"/>
    <n v="817"/>
    <n v="7.1"/>
    <s v="Hydel"/>
    <n v="27"/>
    <x v="0"/>
    <n v="4"/>
    <n v="35"/>
    <s v="High"/>
    <n v="1.7"/>
    <n v="19.899999999999999"/>
    <s v="Medium"/>
    <x v="9"/>
  </r>
  <r>
    <x v="6"/>
    <n v="22.4"/>
    <n v="4276"/>
    <n v="5.0999999999999996"/>
    <s v="Hydel"/>
    <n v="27"/>
    <x v="29"/>
    <n v="8"/>
    <n v="33"/>
    <s v="Medium"/>
    <n v="4.8"/>
    <n v="57.1"/>
    <s v="Low"/>
    <x v="6"/>
  </r>
  <r>
    <x v="6"/>
    <n v="2.1"/>
    <n v="482"/>
    <n v="10"/>
    <s v="Hydel"/>
    <n v="40"/>
    <x v="13"/>
    <n v="2"/>
    <n v="38.5"/>
    <s v="High"/>
    <n v="0.9"/>
    <n v="10.5"/>
    <s v="Medium"/>
    <x v="6"/>
  </r>
  <r>
    <x v="9"/>
    <n v="1.1000000000000001"/>
    <n v="298"/>
    <n v="7.7"/>
    <s v="Solar"/>
    <n v="31"/>
    <x v="30"/>
    <n v="5"/>
    <n v="29"/>
    <s v="High"/>
    <n v="0.4"/>
    <n v="4.2"/>
    <s v="Medium"/>
    <x v="9"/>
  </r>
  <r>
    <x v="7"/>
    <n v="9.3000000000000007"/>
    <n v="1738"/>
    <n v="8.1"/>
    <s v="Solar"/>
    <n v="27"/>
    <x v="29"/>
    <n v="4"/>
    <n v="47"/>
    <s v="High"/>
    <n v="3.1"/>
    <n v="37.700000000000003"/>
    <s v="Low"/>
    <x v="7"/>
  </r>
  <r>
    <x v="6"/>
    <n v="10.8"/>
    <n v="4550"/>
    <n v="5.0999999999999996"/>
    <s v="Thermal"/>
    <n v="27"/>
    <x v="31"/>
    <n v="7"/>
    <n v="39.5"/>
    <s v="Medium"/>
    <n v="2.2999999999999998"/>
    <n v="27.5"/>
    <s v="Low"/>
    <x v="6"/>
  </r>
  <r>
    <x v="10"/>
    <n v="16.100000000000001"/>
    <n v="2548"/>
    <n v="4.8"/>
    <s v="Wind"/>
    <n v="32"/>
    <x v="32"/>
    <n v="6"/>
    <n v="40.5"/>
    <s v="Medium"/>
    <n v="3.2"/>
    <n v="38.6"/>
    <s v="Medium"/>
    <x v="10"/>
  </r>
  <r>
    <x v="9"/>
    <n v="24.7"/>
    <n v="3398"/>
    <n v="6.2"/>
    <s v="Thermal"/>
    <n v="28"/>
    <x v="33"/>
    <n v="7"/>
    <n v="34"/>
    <s v="High"/>
    <n v="6.4"/>
    <n v="76.599999999999994"/>
    <s v="Medium"/>
    <x v="9"/>
  </r>
  <r>
    <x v="9"/>
    <n v="20.2"/>
    <n v="4190"/>
    <n v="4.8"/>
    <s v="Wind"/>
    <n v="32"/>
    <x v="4"/>
    <n v="8"/>
    <n v="24.5"/>
    <s v="Medium"/>
    <n v="4"/>
    <n v="48.5"/>
    <s v="Medium"/>
    <x v="9"/>
  </r>
  <r>
    <x v="3"/>
    <n v="7.9"/>
    <n v="1422"/>
    <n v="5.7"/>
    <s v="Thermal"/>
    <n v="31"/>
    <x v="34"/>
    <n v="4"/>
    <n v="38"/>
    <s v="Medium"/>
    <n v="1.9"/>
    <n v="22.5"/>
    <s v="Medium"/>
    <x v="3"/>
  </r>
  <r>
    <x v="14"/>
    <n v="13.6"/>
    <n v="4020"/>
    <n v="9.8000000000000007"/>
    <s v="Thermal"/>
    <n v="45"/>
    <x v="35"/>
    <n v="7"/>
    <n v="12.5"/>
    <s v="High"/>
    <n v="5.6"/>
    <n v="66.599999999999994"/>
    <s v="High"/>
    <x v="14"/>
  </r>
  <r>
    <x v="6"/>
    <n v="13"/>
    <n v="4503"/>
    <n v="4.0999999999999996"/>
    <s v="Thermal"/>
    <n v="27"/>
    <x v="8"/>
    <n v="8"/>
    <n v="46.5"/>
    <s v="Medium"/>
    <n v="2.2000000000000002"/>
    <n v="26.7"/>
    <s v="Low"/>
    <x v="6"/>
  </r>
  <r>
    <x v="3"/>
    <n v="6.4"/>
    <n v="1255"/>
    <n v="8.1"/>
    <s v="Wind"/>
    <n v="27"/>
    <x v="36"/>
    <n v="6"/>
    <n v="34.5"/>
    <s v="High"/>
    <n v="2.2000000000000002"/>
    <n v="25.9"/>
    <s v="Medium"/>
    <x v="3"/>
  </r>
  <r>
    <x v="2"/>
    <n v="15.2"/>
    <n v="4424"/>
    <n v="9.3000000000000007"/>
    <s v="Thermal"/>
    <n v="42"/>
    <x v="6"/>
    <n v="6"/>
    <n v="12"/>
    <s v="High"/>
    <n v="5.9"/>
    <n v="70.7"/>
    <s v="High"/>
    <x v="2"/>
  </r>
  <r>
    <x v="3"/>
    <n v="21"/>
    <n v="2936"/>
    <n v="8.6999999999999993"/>
    <s v="Hydel"/>
    <n v="31"/>
    <x v="22"/>
    <n v="7"/>
    <n v="31"/>
    <s v="High"/>
    <n v="7.6"/>
    <n v="91.4"/>
    <s v="Medium"/>
    <x v="3"/>
  </r>
  <r>
    <x v="5"/>
    <n v="3.8"/>
    <n v="703"/>
    <n v="5.6"/>
    <s v="Solar"/>
    <n v="37"/>
    <x v="37"/>
    <n v="4"/>
    <n v="24"/>
    <s v="Medium"/>
    <n v="0.9"/>
    <n v="10.6"/>
    <s v="Medium"/>
    <x v="5"/>
  </r>
  <r>
    <x v="11"/>
    <n v="6.8"/>
    <n v="1418"/>
    <n v="6.7"/>
    <s v="Solar"/>
    <n v="38"/>
    <x v="38"/>
    <n v="6"/>
    <n v="21"/>
    <s v="High"/>
    <n v="1.9"/>
    <n v="22.8"/>
    <s v="High"/>
    <x v="11"/>
  </r>
  <r>
    <x v="5"/>
    <n v="12.4"/>
    <n v="3421"/>
    <n v="8.6999999999999993"/>
    <s v="Wind"/>
    <n v="31"/>
    <x v="21"/>
    <n v="6"/>
    <n v="31"/>
    <s v="High"/>
    <n v="4.5"/>
    <n v="53.9"/>
    <s v="High"/>
    <x v="5"/>
  </r>
  <r>
    <x v="10"/>
    <n v="2.5"/>
    <n v="589"/>
    <n v="7.8"/>
    <s v="Thermal"/>
    <n v="32"/>
    <x v="7"/>
    <n v="2"/>
    <n v="45"/>
    <s v="High"/>
    <n v="0.8"/>
    <n v="9.8000000000000007"/>
    <s v="Medium"/>
    <x v="10"/>
  </r>
  <r>
    <x v="9"/>
    <n v="15.2"/>
    <n v="2958"/>
    <n v="9.3000000000000007"/>
    <s v="Solar"/>
    <n v="35"/>
    <x v="32"/>
    <n v="8"/>
    <n v="35.5"/>
    <s v="High"/>
    <n v="5.9"/>
    <n v="70.7"/>
    <s v="Medium"/>
    <x v="9"/>
  </r>
  <r>
    <x v="13"/>
    <n v="10.199999999999999"/>
    <n v="2464"/>
    <n v="7.7"/>
    <s v="Hydel"/>
    <n v="38"/>
    <x v="39"/>
    <n v="7"/>
    <n v="30"/>
    <s v="High"/>
    <n v="3.3"/>
    <n v="39.299999999999997"/>
    <s v="Medium"/>
    <x v="13"/>
  </r>
  <r>
    <x v="6"/>
    <n v="22.1"/>
    <n v="2330"/>
    <n v="6.8"/>
    <s v="Hydel"/>
    <n v="45"/>
    <x v="35"/>
    <n v="8"/>
    <n v="11.5"/>
    <s v="High"/>
    <n v="6.3"/>
    <n v="75.099999999999994"/>
    <s v="High"/>
    <x v="6"/>
  </r>
  <r>
    <x v="13"/>
    <n v="21.6"/>
    <n v="2062"/>
    <n v="6"/>
    <s v="Solar"/>
    <n v="33"/>
    <x v="39"/>
    <n v="9"/>
    <n v="20"/>
    <s v="Medium"/>
    <n v="5.4"/>
    <n v="64.8"/>
    <s v="Medium"/>
    <x v="13"/>
  </r>
  <r>
    <x v="5"/>
    <n v="8.3000000000000007"/>
    <n v="1698"/>
    <n v="5.7"/>
    <s v="Hydel"/>
    <n v="31"/>
    <x v="14"/>
    <n v="5"/>
    <n v="36.5"/>
    <s v="Medium"/>
    <n v="2"/>
    <n v="23.7"/>
    <s v="Medium"/>
    <x v="5"/>
  </r>
  <r>
    <x v="4"/>
    <n v="2.7"/>
    <n v="169"/>
    <n v="5.0999999999999996"/>
    <s v="Solar"/>
    <n v="27"/>
    <x v="40"/>
    <n v="3"/>
    <n v="44"/>
    <s v="Medium"/>
    <n v="0.6"/>
    <n v="6.9"/>
    <s v="Low"/>
    <x v="4"/>
  </r>
  <r>
    <x v="13"/>
    <n v="20.7"/>
    <n v="3850"/>
    <n v="9"/>
    <s v="Wind"/>
    <n v="40"/>
    <x v="2"/>
    <n v="6"/>
    <n v="23.5"/>
    <s v="High"/>
    <n v="7.8"/>
    <n v="93.2"/>
    <s v="High"/>
    <x v="13"/>
  </r>
  <r>
    <x v="12"/>
    <n v="23.2"/>
    <n v="2053"/>
    <n v="6.8"/>
    <s v="Solar"/>
    <n v="32"/>
    <x v="34"/>
    <n v="8"/>
    <n v="26"/>
    <s v="High"/>
    <n v="6.6"/>
    <n v="78.900000000000006"/>
    <s v="Medium"/>
    <x v="12"/>
  </r>
  <r>
    <x v="10"/>
    <n v="1.6"/>
    <n v="658"/>
    <n v="7.7"/>
    <s v="Hydel"/>
    <n v="38"/>
    <x v="17"/>
    <n v="2"/>
    <n v="35.5"/>
    <s v="High"/>
    <n v="0.5"/>
    <n v="6.2"/>
    <s v="Medium"/>
    <x v="10"/>
  </r>
  <r>
    <x v="1"/>
    <n v="22.8"/>
    <n v="3092"/>
    <n v="5.5"/>
    <s v="Solar"/>
    <n v="30"/>
    <x v="41"/>
    <n v="6"/>
    <n v="44.5"/>
    <s v="Medium"/>
    <n v="5.2"/>
    <n v="62.7"/>
    <s v="Low"/>
    <x v="1"/>
  </r>
  <r>
    <x v="3"/>
    <n v="1.7"/>
    <n v="630"/>
    <n v="4.5"/>
    <s v="Thermal"/>
    <n v="30"/>
    <x v="42"/>
    <n v="5"/>
    <n v="36.5"/>
    <s v="Medium"/>
    <n v="0.3"/>
    <n v="3.8"/>
    <s v="Medium"/>
    <x v="3"/>
  </r>
  <r>
    <x v="10"/>
    <n v="10.6"/>
    <n v="3582"/>
    <n v="4.4000000000000004"/>
    <s v="Thermal"/>
    <n v="29"/>
    <x v="28"/>
    <n v="9"/>
    <n v="40.5"/>
    <s v="Medium"/>
    <n v="1.9"/>
    <n v="23.3"/>
    <s v="Low"/>
    <x v="10"/>
  </r>
  <r>
    <x v="1"/>
    <n v="5.8"/>
    <n v="1287"/>
    <n v="8.3000000000000007"/>
    <s v="Wind"/>
    <n v="35"/>
    <x v="43"/>
    <n v="4"/>
    <n v="32.5"/>
    <s v="High"/>
    <n v="2"/>
    <n v="24.1"/>
    <s v="Medium"/>
    <x v="1"/>
  </r>
  <r>
    <x v="4"/>
    <n v="15.5"/>
    <n v="3137"/>
    <n v="7.8"/>
    <s v="Hydel"/>
    <n v="25"/>
    <x v="5"/>
    <n v="6"/>
    <n v="31"/>
    <s v="High"/>
    <n v="5"/>
    <n v="60.5"/>
    <s v="Medium"/>
    <x v="4"/>
  </r>
  <r>
    <x v="0"/>
    <n v="11.9"/>
    <n v="2276"/>
    <n v="7.8"/>
    <s v="Solar"/>
    <n v="25"/>
    <x v="20"/>
    <n v="9"/>
    <n v="41.5"/>
    <s v="High"/>
    <n v="3.9"/>
    <n v="46.4"/>
    <s v="Low"/>
    <x v="0"/>
  </r>
  <r>
    <x v="13"/>
    <n v="8"/>
    <n v="1745"/>
    <n v="8.8000000000000007"/>
    <s v="Hydel"/>
    <n v="32"/>
    <x v="9"/>
    <n v="5"/>
    <n v="27"/>
    <s v="High"/>
    <n v="2.9"/>
    <n v="35.200000000000003"/>
    <s v="Medium"/>
    <x v="13"/>
  </r>
  <r>
    <x v="9"/>
    <n v="22.6"/>
    <n v="4671"/>
    <n v="6.1"/>
    <s v="Thermal"/>
    <n v="34"/>
    <x v="27"/>
    <n v="7"/>
    <n v="23.5"/>
    <s v="High"/>
    <n v="5.7"/>
    <n v="68.900000000000006"/>
    <s v="Medium"/>
    <x v="9"/>
  </r>
  <r>
    <x v="10"/>
    <n v="18"/>
    <n v="2532"/>
    <n v="7.3"/>
    <s v="Thermal"/>
    <n v="35"/>
    <x v="12"/>
    <n v="7"/>
    <n v="24.5"/>
    <s v="High"/>
    <n v="5.5"/>
    <n v="65.7"/>
    <s v="High"/>
    <x v="10"/>
  </r>
  <r>
    <x v="11"/>
    <n v="16.100000000000001"/>
    <n v="4234"/>
    <n v="4.7"/>
    <s v="Solar"/>
    <n v="31"/>
    <x v="32"/>
    <n v="6"/>
    <n v="30.5"/>
    <s v="Medium"/>
    <n v="3.2"/>
    <n v="37.799999999999997"/>
    <s v="Medium"/>
    <x v="11"/>
  </r>
  <r>
    <x v="5"/>
    <n v="18.5"/>
    <n v="2411"/>
    <n v="8.4"/>
    <s v="Wind"/>
    <n v="29"/>
    <x v="28"/>
    <n v="6"/>
    <n v="42.5"/>
    <s v="High"/>
    <n v="6.5"/>
    <n v="77.7"/>
    <s v="Low"/>
    <x v="5"/>
  </r>
  <r>
    <x v="8"/>
    <n v="9.3000000000000007"/>
    <n v="962"/>
    <n v="8.3000000000000007"/>
    <s v="Wind"/>
    <n v="42"/>
    <x v="38"/>
    <n v="7"/>
    <n v="18"/>
    <s v="High"/>
    <n v="3.2"/>
    <n v="38.6"/>
    <s v="High"/>
    <x v="8"/>
  </r>
  <r>
    <x v="5"/>
    <n v="16.2"/>
    <n v="4800"/>
    <n v="4.8"/>
    <s v="Thermal"/>
    <n v="32"/>
    <x v="7"/>
    <n v="7"/>
    <n v="36"/>
    <s v="Medium"/>
    <n v="3.2"/>
    <n v="38.9"/>
    <s v="Medium"/>
    <x v="5"/>
  </r>
  <r>
    <x v="6"/>
    <n v="3.9"/>
    <n v="710"/>
    <n v="5.0999999999999996"/>
    <s v="Solar"/>
    <n v="27"/>
    <x v="44"/>
    <n v="4"/>
    <n v="48"/>
    <s v="Medium"/>
    <n v="0.8"/>
    <n v="9.9"/>
    <s v="Low"/>
    <x v="6"/>
  </r>
  <r>
    <x v="12"/>
    <n v="20.8"/>
    <n v="4401"/>
    <n v="6.4"/>
    <s v="Hydel"/>
    <n v="29"/>
    <x v="45"/>
    <n v="8"/>
    <n v="23.5"/>
    <s v="High"/>
    <n v="5.5"/>
    <n v="66.599999999999994"/>
    <s v="Medium"/>
    <x v="12"/>
  </r>
  <r>
    <x v="8"/>
    <n v="18.3"/>
    <n v="4955"/>
    <n v="8.8000000000000007"/>
    <s v="Solar"/>
    <n v="45"/>
    <x v="46"/>
    <n v="9"/>
    <n v="8"/>
    <s v="High"/>
    <n v="6.7"/>
    <n v="80.5"/>
    <s v="High"/>
    <x v="8"/>
  </r>
  <r>
    <x v="14"/>
    <n v="6.1"/>
    <n v="878"/>
    <n v="4.4000000000000004"/>
    <s v="Thermal"/>
    <n v="29"/>
    <x v="47"/>
    <n v="6"/>
    <n v="45"/>
    <s v="Medium"/>
    <n v="1.1000000000000001"/>
    <n v="13.4"/>
    <s v="Low"/>
    <x v="14"/>
  </r>
  <r>
    <x v="11"/>
    <n v="15.1"/>
    <n v="3065"/>
    <n v="7.3"/>
    <s v="Solar"/>
    <n v="35"/>
    <x v="19"/>
    <n v="7"/>
    <n v="25"/>
    <s v="High"/>
    <n v="4.5999999999999996"/>
    <n v="55.1"/>
    <s v="High"/>
    <x v="11"/>
  </r>
  <r>
    <x v="0"/>
    <n v="18.8"/>
    <n v="3573"/>
    <n v="6.2"/>
    <s v="Thermal"/>
    <n v="28"/>
    <x v="48"/>
    <n v="8"/>
    <n v="43"/>
    <s v="High"/>
    <n v="4.9000000000000004"/>
    <n v="58.3"/>
    <s v="Low"/>
    <x v="0"/>
  </r>
  <r>
    <x v="4"/>
    <n v="24.6"/>
    <n v="3765"/>
    <n v="6"/>
    <s v="Solar"/>
    <n v="40"/>
    <x v="49"/>
    <n v="6"/>
    <n v="20.5"/>
    <s v="Medium"/>
    <n v="6.2"/>
    <n v="73.8"/>
    <s v="High"/>
    <x v="4"/>
  </r>
  <r>
    <x v="6"/>
    <n v="3.2"/>
    <n v="164"/>
    <n v="4.8"/>
    <s v="Thermal"/>
    <n v="25"/>
    <x v="24"/>
    <n v="2"/>
    <n v="49"/>
    <s v="Medium"/>
    <n v="0.6"/>
    <n v="7.7"/>
    <s v="Low"/>
    <x v="6"/>
  </r>
  <r>
    <x v="0"/>
    <n v="12.7"/>
    <n v="2238"/>
    <n v="8.8000000000000007"/>
    <s v="Solar"/>
    <n v="32"/>
    <x v="14"/>
    <n v="9"/>
    <n v="27.5"/>
    <s v="High"/>
    <n v="4.7"/>
    <n v="55.9"/>
    <s v="Medium"/>
    <x v="0"/>
  </r>
  <r>
    <x v="5"/>
    <n v="4.8"/>
    <n v="581"/>
    <n v="10.3"/>
    <s v="Thermal"/>
    <n v="42"/>
    <x v="12"/>
    <n v="2"/>
    <n v="36.5"/>
    <s v="Critical"/>
    <n v="2.1"/>
    <n v="24.7"/>
    <s v="Medium"/>
    <x v="5"/>
  </r>
  <r>
    <x v="9"/>
    <n v="6.5"/>
    <n v="962"/>
    <n v="5.5"/>
    <s v="Thermal"/>
    <n v="30"/>
    <x v="32"/>
    <n v="6"/>
    <n v="37.5"/>
    <s v="Medium"/>
    <n v="1.5"/>
    <n v="17.899999999999999"/>
    <s v="Medium"/>
    <x v="9"/>
  </r>
  <r>
    <x v="13"/>
    <n v="7.8"/>
    <n v="1084"/>
    <n v="6.8"/>
    <s v="Solar"/>
    <n v="32"/>
    <x v="4"/>
    <n v="4"/>
    <n v="32.5"/>
    <s v="High"/>
    <n v="2.2000000000000002"/>
    <n v="26.5"/>
    <s v="Medium"/>
    <x v="13"/>
  </r>
  <r>
    <x v="3"/>
    <n v="9.6999999999999993"/>
    <n v="1118"/>
    <n v="9.6999999999999993"/>
    <s v="Wind"/>
    <n v="38"/>
    <x v="15"/>
    <n v="5"/>
    <n v="23"/>
    <s v="High"/>
    <n v="3.9"/>
    <n v="47"/>
    <s v="Medium"/>
    <x v="3"/>
  </r>
  <r>
    <x v="7"/>
    <n v="5"/>
    <n v="333"/>
    <n v="7.7"/>
    <s v="Thermal"/>
    <n v="38"/>
    <x v="37"/>
    <n v="2"/>
    <n v="29"/>
    <s v="High"/>
    <n v="1.6"/>
    <n v="19.3"/>
    <s v="Medium"/>
    <x v="7"/>
  </r>
  <r>
    <x v="10"/>
    <n v="19.3"/>
    <n v="2860"/>
    <n v="7.6"/>
    <s v="Wind"/>
    <n v="37"/>
    <x v="46"/>
    <n v="6"/>
    <n v="16"/>
    <s v="High"/>
    <n v="6.1"/>
    <n v="73.3"/>
    <s v="High"/>
    <x v="10"/>
  </r>
  <r>
    <x v="13"/>
    <n v="4.5999999999999996"/>
    <n v="389"/>
    <n v="5.0999999999999996"/>
    <s v="Solar"/>
    <n v="27"/>
    <x v="50"/>
    <n v="2"/>
    <n v="47.5"/>
    <s v="Medium"/>
    <n v="1"/>
    <n v="11.7"/>
    <s v="Low"/>
    <x v="13"/>
  </r>
  <r>
    <x v="12"/>
    <n v="21.4"/>
    <n v="3612"/>
    <n v="6"/>
    <s v="Solar"/>
    <n v="40"/>
    <x v="13"/>
    <n v="7"/>
    <n v="22.5"/>
    <s v="Medium"/>
    <n v="5.4"/>
    <n v="64.2"/>
    <s v="High"/>
    <x v="12"/>
  </r>
  <r>
    <x v="14"/>
    <n v="1.4"/>
    <n v="663"/>
    <n v="5.0999999999999996"/>
    <s v="Thermal"/>
    <n v="34"/>
    <x v="7"/>
    <n v="3"/>
    <n v="43"/>
    <s v="Medium"/>
    <n v="0.3"/>
    <n v="3.6"/>
    <s v="Medium"/>
    <x v="14"/>
  </r>
  <r>
    <x v="9"/>
    <n v="7.2"/>
    <n v="1673"/>
    <n v="5.0999999999999996"/>
    <s v="Wind"/>
    <n v="34"/>
    <x v="7"/>
    <n v="7"/>
    <n v="29"/>
    <s v="Medium"/>
    <n v="1.5"/>
    <n v="18.399999999999999"/>
    <s v="Medium"/>
    <x v="9"/>
  </r>
  <r>
    <x v="12"/>
    <n v="22.2"/>
    <n v="2531"/>
    <n v="7.7"/>
    <s v="Thermal"/>
    <n v="38"/>
    <x v="12"/>
    <n v="6"/>
    <n v="30.5"/>
    <s v="High"/>
    <n v="7.1"/>
    <n v="85.5"/>
    <s v="High"/>
    <x v="12"/>
  </r>
  <r>
    <x v="4"/>
    <n v="5.4"/>
    <n v="1723"/>
    <n v="7.1"/>
    <s v="Thermal"/>
    <n v="34"/>
    <x v="10"/>
    <n v="7"/>
    <n v="17.5"/>
    <s v="High"/>
    <n v="1.6"/>
    <n v="19.2"/>
    <s v="High"/>
    <x v="4"/>
  </r>
  <r>
    <x v="6"/>
    <n v="6.8"/>
    <n v="1943"/>
    <n v="6.4"/>
    <s v="Solar"/>
    <n v="29"/>
    <x v="25"/>
    <n v="7"/>
    <n v="38"/>
    <s v="High"/>
    <n v="1.8"/>
    <n v="21.8"/>
    <s v="Low"/>
    <x v="6"/>
  </r>
  <r>
    <x v="6"/>
    <n v="8.9"/>
    <n v="1033"/>
    <n v="6.4"/>
    <s v="Thermal"/>
    <n v="29"/>
    <x v="44"/>
    <n v="6"/>
    <n v="44"/>
    <s v="High"/>
    <n v="2.4"/>
    <n v="28.5"/>
    <s v="Low"/>
    <x v="6"/>
  </r>
  <r>
    <x v="0"/>
    <n v="11.7"/>
    <n v="4134"/>
    <n v="6.8"/>
    <s v="Wind"/>
    <n v="32"/>
    <x v="10"/>
    <n v="9"/>
    <n v="16.5"/>
    <s v="High"/>
    <n v="3.3"/>
    <n v="39.799999999999997"/>
    <s v="High"/>
    <x v="0"/>
  </r>
  <r>
    <x v="3"/>
    <n v="6.5"/>
    <n v="1166"/>
    <n v="8.4"/>
    <s v="Solar"/>
    <n v="29"/>
    <x v="32"/>
    <n v="7"/>
    <n v="28.5"/>
    <s v="High"/>
    <n v="2.2999999999999998"/>
    <n v="27.3"/>
    <s v="Medium"/>
    <x v="3"/>
  </r>
  <r>
    <x v="9"/>
    <n v="7.3"/>
    <n v="1897"/>
    <n v="6.5"/>
    <s v="Wind"/>
    <n v="30"/>
    <x v="51"/>
    <n v="6"/>
    <n v="29"/>
    <s v="High"/>
    <n v="2"/>
    <n v="23.7"/>
    <s v="Medium"/>
    <x v="9"/>
  </r>
  <r>
    <x v="6"/>
    <n v="20"/>
    <n v="2855"/>
    <n v="8.3000000000000007"/>
    <s v="Hydel"/>
    <n v="35"/>
    <x v="52"/>
    <n v="7"/>
    <n v="32.5"/>
    <s v="High"/>
    <n v="6.9"/>
    <n v="83"/>
    <s v="Medium"/>
    <x v="6"/>
  </r>
  <r>
    <x v="12"/>
    <n v="23.8"/>
    <n v="4058"/>
    <n v="9"/>
    <s v="Solar"/>
    <n v="40"/>
    <x v="53"/>
    <n v="7"/>
    <n v="15.5"/>
    <s v="High"/>
    <n v="8.9"/>
    <n v="107.1"/>
    <s v="High"/>
    <x v="12"/>
  </r>
  <r>
    <x v="2"/>
    <n v="1.2"/>
    <n v="688"/>
    <n v="10.3"/>
    <s v="Thermal"/>
    <n v="42"/>
    <x v="10"/>
    <n v="5"/>
    <n v="25.5"/>
    <s v="Critical"/>
    <n v="0.5"/>
    <n v="6.2"/>
    <s v="Medium"/>
    <x v="2"/>
  </r>
  <r>
    <x v="3"/>
    <n v="10.3"/>
    <n v="4668"/>
    <n v="7.3"/>
    <s v="Wind"/>
    <n v="42"/>
    <x v="18"/>
    <n v="6"/>
    <n v="21.5"/>
    <s v="High"/>
    <n v="3.1"/>
    <n v="37.6"/>
    <s v="High"/>
    <x v="3"/>
  </r>
  <r>
    <x v="8"/>
    <n v="14.6"/>
    <n v="2547"/>
    <n v="9"/>
    <s v="Solar"/>
    <n v="40"/>
    <x v="54"/>
    <n v="9"/>
    <n v="17.5"/>
    <s v="High"/>
    <n v="5.5"/>
    <n v="65.7"/>
    <s v="High"/>
    <x v="8"/>
  </r>
  <r>
    <x v="2"/>
    <n v="1.7"/>
    <n v="650"/>
    <n v="7.2"/>
    <s v="Hydel"/>
    <n v="28"/>
    <x v="24"/>
    <n v="2"/>
    <n v="44"/>
    <s v="High"/>
    <n v="0.5"/>
    <n v="6.1"/>
    <s v="Low"/>
    <x v="2"/>
  </r>
  <r>
    <x v="11"/>
    <n v="14.1"/>
    <n v="2624"/>
    <n v="8"/>
    <s v="Thermal"/>
    <n v="33"/>
    <x v="16"/>
    <n v="9"/>
    <n v="19.5"/>
    <s v="High"/>
    <n v="4.7"/>
    <n v="56.4"/>
    <s v="Medium"/>
    <x v="11"/>
  </r>
  <r>
    <x v="2"/>
    <n v="23.5"/>
    <n v="2153"/>
    <n v="4.2"/>
    <s v="Wind"/>
    <n v="28"/>
    <x v="8"/>
    <n v="9"/>
    <n v="43.5"/>
    <s v="Medium"/>
    <n v="4.0999999999999996"/>
    <n v="49.4"/>
    <s v="Low"/>
    <x v="2"/>
  </r>
  <r>
    <x v="14"/>
    <n v="2.1"/>
    <n v="704"/>
    <n v="5.2"/>
    <s v="Hydel"/>
    <n v="28"/>
    <x v="28"/>
    <n v="2"/>
    <n v="54.5"/>
    <s v="Medium"/>
    <n v="0.5"/>
    <n v="5.5"/>
    <s v="Low"/>
    <x v="14"/>
  </r>
  <r>
    <x v="1"/>
    <n v="10.199999999999999"/>
    <n v="2527"/>
    <n v="9.3000000000000007"/>
    <s v="Wind"/>
    <n v="35"/>
    <x v="30"/>
    <n v="6"/>
    <n v="29"/>
    <s v="High"/>
    <n v="4"/>
    <n v="47.4"/>
    <s v="High"/>
    <x v="1"/>
  </r>
  <r>
    <x v="14"/>
    <n v="19.5"/>
    <n v="4911"/>
    <n v="8.1"/>
    <s v="Hydel"/>
    <n v="34"/>
    <x v="54"/>
    <n v="7"/>
    <n v="19.5"/>
    <s v="High"/>
    <n v="6.6"/>
    <n v="79"/>
    <s v="High"/>
    <x v="14"/>
  </r>
  <r>
    <x v="7"/>
    <n v="6.7"/>
    <n v="1874"/>
    <n v="7.1"/>
    <s v="Solar"/>
    <n v="27"/>
    <x v="50"/>
    <n v="5"/>
    <n v="42.5"/>
    <s v="High"/>
    <n v="2"/>
    <n v="23.8"/>
    <s v="Low"/>
    <x v="7"/>
  </r>
  <r>
    <x v="1"/>
    <n v="15.2"/>
    <n v="4699"/>
    <n v="8.4"/>
    <s v="Thermal"/>
    <n v="29"/>
    <x v="50"/>
    <n v="7"/>
    <n v="34.5"/>
    <s v="High"/>
    <n v="5.3"/>
    <n v="63.8"/>
    <s v="Low"/>
    <x v="1"/>
  </r>
  <r>
    <x v="0"/>
    <n v="4.5999999999999996"/>
    <n v="569"/>
    <n v="6.7"/>
    <s v="Solar"/>
    <n v="38"/>
    <x v="30"/>
    <n v="2"/>
    <n v="32"/>
    <s v="High"/>
    <n v="1.3"/>
    <n v="15.4"/>
    <s v="Medium"/>
    <x v="0"/>
  </r>
  <r>
    <x v="6"/>
    <n v="7.3"/>
    <n v="907"/>
    <n v="5.7"/>
    <s v="Hydel"/>
    <n v="38"/>
    <x v="3"/>
    <n v="7"/>
    <n v="29"/>
    <s v="Medium"/>
    <n v="1.7"/>
    <n v="20.8"/>
    <s v="High"/>
    <x v="6"/>
  </r>
  <r>
    <x v="5"/>
    <n v="9.8000000000000007"/>
    <n v="1311"/>
    <n v="8.6999999999999993"/>
    <s v="Hydel"/>
    <n v="31"/>
    <x v="32"/>
    <n v="7"/>
    <n v="38.5"/>
    <s v="High"/>
    <n v="3.6"/>
    <n v="42.6"/>
    <s v="Medium"/>
    <x v="5"/>
  </r>
  <r>
    <x v="2"/>
    <n v="23.9"/>
    <n v="3279"/>
    <n v="7.4"/>
    <s v="Hydel"/>
    <n v="29"/>
    <x v="55"/>
    <n v="9"/>
    <n v="40"/>
    <s v="High"/>
    <n v="7.4"/>
    <n v="88.4"/>
    <s v="Low"/>
    <x v="2"/>
  </r>
  <r>
    <x v="9"/>
    <n v="2.4"/>
    <n v="735"/>
    <n v="5.2"/>
    <s v="Thermal"/>
    <n v="28"/>
    <x v="56"/>
    <n v="5"/>
    <n v="34"/>
    <s v="Medium"/>
    <n v="0.5"/>
    <n v="6.2"/>
    <s v="Medium"/>
    <x v="9"/>
  </r>
  <r>
    <x v="1"/>
    <n v="7.9"/>
    <n v="1278"/>
    <n v="4.5"/>
    <s v="Thermal"/>
    <n v="30"/>
    <x v="33"/>
    <n v="6"/>
    <n v="31"/>
    <s v="Medium"/>
    <n v="1.5"/>
    <n v="17.8"/>
    <s v="Medium"/>
    <x v="1"/>
  </r>
  <r>
    <x v="11"/>
    <n v="21.4"/>
    <n v="2392"/>
    <n v="9"/>
    <s v="Thermal"/>
    <n v="40"/>
    <x v="2"/>
    <n v="7"/>
    <n v="22.5"/>
    <s v="High"/>
    <n v="8"/>
    <n v="96.3"/>
    <s v="High"/>
    <x v="11"/>
  </r>
  <r>
    <x v="8"/>
    <n v="17.899999999999999"/>
    <n v="4811"/>
    <n v="10.3"/>
    <s v="Thermal"/>
    <n v="42"/>
    <x v="54"/>
    <n v="8"/>
    <n v="23.5"/>
    <s v="Critical"/>
    <n v="7.7"/>
    <n v="92.2"/>
    <s v="High"/>
    <x v="8"/>
  </r>
  <r>
    <x v="4"/>
    <n v="12.7"/>
    <n v="4617"/>
    <n v="7.3"/>
    <s v="Thermal"/>
    <n v="42"/>
    <x v="53"/>
    <n v="9"/>
    <n v="10.5"/>
    <s v="High"/>
    <n v="3.9"/>
    <n v="46.4"/>
    <s v="High"/>
    <x v="4"/>
  </r>
  <r>
    <x v="9"/>
    <n v="7.4"/>
    <n v="1517"/>
    <n v="6.8"/>
    <s v="Wind"/>
    <n v="32"/>
    <x v="56"/>
    <n v="6"/>
    <n v="39"/>
    <s v="High"/>
    <n v="2.1"/>
    <n v="25.2"/>
    <s v="Medium"/>
    <x v="9"/>
  </r>
  <r>
    <x v="4"/>
    <n v="10.1"/>
    <n v="4848"/>
    <n v="9.8000000000000007"/>
    <s v="Solar"/>
    <n v="45"/>
    <x v="46"/>
    <n v="6"/>
    <n v="20"/>
    <s v="High"/>
    <n v="4.0999999999999996"/>
    <n v="49.5"/>
    <s v="High"/>
    <x v="4"/>
  </r>
  <r>
    <x v="7"/>
    <n v="10.4"/>
    <n v="4485"/>
    <n v="8.8000000000000007"/>
    <s v="Hydel"/>
    <n v="32"/>
    <x v="21"/>
    <n v="6"/>
    <n v="23"/>
    <s v="High"/>
    <n v="3.8"/>
    <n v="45.8"/>
    <s v="High"/>
    <x v="7"/>
  </r>
  <r>
    <x v="1"/>
    <n v="9.5"/>
    <n v="1972"/>
    <n v="8.5"/>
    <s v="Wind"/>
    <n v="30"/>
    <x v="25"/>
    <n v="5"/>
    <n v="35"/>
    <s v="High"/>
    <n v="3.4"/>
    <n v="40.4"/>
    <s v="Low"/>
    <x v="1"/>
  </r>
  <r>
    <x v="7"/>
    <n v="8"/>
    <n v="1380"/>
    <n v="8.6999999999999993"/>
    <s v="Thermal"/>
    <n v="38"/>
    <x v="54"/>
    <n v="5"/>
    <n v="29.5"/>
    <s v="High"/>
    <n v="2.9"/>
    <n v="34.799999999999997"/>
    <s v="Medium"/>
    <x v="7"/>
  </r>
  <r>
    <x v="12"/>
    <n v="24.7"/>
    <n v="3743"/>
    <n v="5.7"/>
    <s v="Hydel"/>
    <n v="31"/>
    <x v="27"/>
    <n v="8"/>
    <n v="27.5"/>
    <s v="Medium"/>
    <n v="5.9"/>
    <n v="70.400000000000006"/>
    <s v="Medium"/>
    <x v="12"/>
  </r>
  <r>
    <x v="6"/>
    <n v="12"/>
    <n v="4521"/>
    <n v="7.8"/>
    <s v="Thermal"/>
    <n v="32"/>
    <x v="10"/>
    <n v="8"/>
    <n v="20.5"/>
    <s v="High"/>
    <n v="3.9"/>
    <n v="46.8"/>
    <s v="High"/>
    <x v="6"/>
  </r>
  <r>
    <x v="2"/>
    <n v="6.3"/>
    <n v="1809"/>
    <n v="9.3000000000000007"/>
    <s v="Solar"/>
    <n v="42"/>
    <x v="49"/>
    <n v="7"/>
    <n v="15.5"/>
    <s v="High"/>
    <n v="2.4"/>
    <n v="29.3"/>
    <s v="High"/>
    <x v="2"/>
  </r>
  <r>
    <x v="8"/>
    <n v="9.1"/>
    <n v="1549"/>
    <n v="8.1999999999999993"/>
    <s v="Thermal"/>
    <n v="28"/>
    <x v="56"/>
    <n v="6"/>
    <n v="31"/>
    <s v="High"/>
    <n v="3.1"/>
    <n v="37.299999999999997"/>
    <s v="Medium"/>
    <x v="8"/>
  </r>
  <r>
    <x v="7"/>
    <n v="2.9"/>
    <n v="611"/>
    <n v="4.4000000000000004"/>
    <s v="Wind"/>
    <n v="29"/>
    <x v="22"/>
    <n v="4"/>
    <n v="45"/>
    <s v="Medium"/>
    <n v="0.5"/>
    <n v="6.4"/>
    <s v="Medium"/>
    <x v="7"/>
  </r>
  <r>
    <x v="13"/>
    <n v="20"/>
    <n v="4052"/>
    <n v="6.1"/>
    <s v="Wind"/>
    <n v="34"/>
    <x v="25"/>
    <n v="6"/>
    <n v="42"/>
    <s v="High"/>
    <n v="5.0999999999999996"/>
    <n v="61"/>
    <s v="Low"/>
    <x v="13"/>
  </r>
  <r>
    <x v="7"/>
    <n v="17.399999999999999"/>
    <n v="3943"/>
    <n v="5"/>
    <s v="Thermal"/>
    <n v="33"/>
    <x v="42"/>
    <n v="6"/>
    <n v="36.5"/>
    <s v="Medium"/>
    <n v="3.6"/>
    <n v="43.5"/>
    <s v="Medium"/>
    <x v="7"/>
  </r>
  <r>
    <x v="1"/>
    <n v="11.6"/>
    <n v="4477"/>
    <n v="7.8"/>
    <s v="Thermal"/>
    <n v="25"/>
    <x v="14"/>
    <n v="8"/>
    <n v="35.5"/>
    <s v="High"/>
    <n v="3.8"/>
    <n v="45.2"/>
    <s v="Medium"/>
    <x v="1"/>
  </r>
  <r>
    <x v="3"/>
    <n v="11.9"/>
    <n v="4862"/>
    <n v="6.8"/>
    <s v="Solar"/>
    <n v="32"/>
    <x v="30"/>
    <n v="7"/>
    <n v="21"/>
    <s v="High"/>
    <n v="3.4"/>
    <n v="40.5"/>
    <s v="High"/>
    <x v="3"/>
  </r>
  <r>
    <x v="5"/>
    <n v="9"/>
    <n v="1845"/>
    <n v="6.5"/>
    <s v="Solar"/>
    <n v="30"/>
    <x v="20"/>
    <n v="5"/>
    <n v="46.5"/>
    <s v="High"/>
    <n v="2.4"/>
    <n v="29.3"/>
    <s v="Low"/>
    <x v="5"/>
  </r>
  <r>
    <x v="2"/>
    <n v="23.3"/>
    <n v="2740"/>
    <n v="7.3"/>
    <s v="Solar"/>
    <n v="35"/>
    <x v="43"/>
    <n v="9"/>
    <n v="27.5"/>
    <s v="High"/>
    <n v="7.1"/>
    <n v="85"/>
    <s v="Medium"/>
    <x v="2"/>
  </r>
  <r>
    <x v="11"/>
    <n v="23.1"/>
    <n v="3668"/>
    <n v="6.1"/>
    <s v="Thermal"/>
    <n v="34"/>
    <x v="12"/>
    <n v="7"/>
    <n v="21.5"/>
    <s v="High"/>
    <n v="5.9"/>
    <n v="70.5"/>
    <s v="High"/>
    <x v="11"/>
  </r>
  <r>
    <x v="5"/>
    <n v="21.3"/>
    <n v="4106"/>
    <n v="9.6999999999999993"/>
    <s v="Solar"/>
    <n v="38"/>
    <x v="19"/>
    <n v="8"/>
    <n v="25"/>
    <s v="High"/>
    <n v="8.6"/>
    <n v="103.3"/>
    <s v="High"/>
    <x v="5"/>
  </r>
  <r>
    <x v="9"/>
    <n v="13.9"/>
    <n v="2484"/>
    <n v="4.8"/>
    <s v="Thermal"/>
    <n v="32"/>
    <x v="51"/>
    <n v="8"/>
    <n v="27"/>
    <s v="Medium"/>
    <n v="2.8"/>
    <n v="33.4"/>
    <s v="Medium"/>
    <x v="9"/>
  </r>
  <r>
    <x v="11"/>
    <n v="8.1999999999999993"/>
    <n v="1515"/>
    <n v="8.8000000000000007"/>
    <s v="Hydel"/>
    <n v="32"/>
    <x v="19"/>
    <n v="6"/>
    <n v="24"/>
    <s v="High"/>
    <n v="3"/>
    <n v="36.1"/>
    <s v="High"/>
    <x v="11"/>
  </r>
  <r>
    <x v="2"/>
    <n v="10.3"/>
    <n v="2853"/>
    <n v="5.5"/>
    <s v="Solar"/>
    <n v="30"/>
    <x v="52"/>
    <n v="6"/>
    <n v="31.5"/>
    <s v="Medium"/>
    <n v="2.4"/>
    <n v="28.3"/>
    <s v="Medium"/>
    <x v="2"/>
  </r>
  <r>
    <x v="13"/>
    <n v="24.6"/>
    <n v="3342"/>
    <n v="10.8"/>
    <s v="Hydel"/>
    <n v="45"/>
    <x v="21"/>
    <n v="7"/>
    <n v="25"/>
    <s v="Critical"/>
    <n v="11.1"/>
    <n v="132.80000000000001"/>
    <s v="High"/>
    <x v="13"/>
  </r>
  <r>
    <x v="5"/>
    <n v="12.1"/>
    <n v="4246"/>
    <n v="7.2"/>
    <s v="Hydel"/>
    <n v="28"/>
    <x v="14"/>
    <n v="9"/>
    <n v="33.5"/>
    <s v="High"/>
    <n v="3.6"/>
    <n v="43.6"/>
    <s v="Medium"/>
    <x v="5"/>
  </r>
  <r>
    <x v="9"/>
    <n v="18.2"/>
    <n v="4813"/>
    <n v="4.5"/>
    <s v="Wind"/>
    <n v="30"/>
    <x v="25"/>
    <n v="8"/>
    <n v="37"/>
    <s v="Medium"/>
    <n v="3.4"/>
    <n v="41"/>
    <s v="Low"/>
    <x v="9"/>
  </r>
  <r>
    <x v="10"/>
    <n v="14.7"/>
    <n v="4303"/>
    <n v="6"/>
    <s v="Thermal"/>
    <n v="40"/>
    <x v="39"/>
    <n v="8"/>
    <n v="20"/>
    <s v="Medium"/>
    <n v="3.7"/>
    <n v="44.1"/>
    <s v="Medium"/>
    <x v="10"/>
  </r>
  <r>
    <x v="6"/>
    <n v="13"/>
    <n v="4982"/>
    <n v="8.6"/>
    <s v="Solar"/>
    <n v="37"/>
    <x v="26"/>
    <n v="7"/>
    <n v="14"/>
    <s v="High"/>
    <n v="4.7"/>
    <n v="55.9"/>
    <s v="High"/>
    <x v="6"/>
  </r>
  <r>
    <x v="3"/>
    <n v="18.5"/>
    <n v="2649"/>
    <n v="7.2"/>
    <s v="Hydel"/>
    <n v="28"/>
    <x v="33"/>
    <n v="9"/>
    <n v="23"/>
    <s v="High"/>
    <n v="5.6"/>
    <n v="66.599999999999994"/>
    <s v="Medium"/>
    <x v="3"/>
  </r>
  <r>
    <x v="1"/>
    <n v="9.8000000000000007"/>
    <n v="1313"/>
    <n v="8"/>
    <s v="Solar"/>
    <n v="40"/>
    <x v="57"/>
    <n v="7"/>
    <n v="20.5"/>
    <s v="High"/>
    <n v="3.3"/>
    <n v="39.200000000000003"/>
    <s v="High"/>
    <x v="1"/>
  </r>
  <r>
    <x v="6"/>
    <n v="11.4"/>
    <n v="4067"/>
    <n v="9"/>
    <s v="Hydel"/>
    <n v="40"/>
    <x v="11"/>
    <n v="6"/>
    <n v="12.5"/>
    <s v="High"/>
    <n v="4.3"/>
    <n v="51.3"/>
    <s v="High"/>
    <x v="6"/>
  </r>
  <r>
    <x v="11"/>
    <n v="14.9"/>
    <n v="2403"/>
    <n v="4.8"/>
    <s v="Thermal"/>
    <n v="25"/>
    <x v="33"/>
    <n v="6"/>
    <n v="29"/>
    <s v="Medium"/>
    <n v="3"/>
    <n v="35.799999999999997"/>
    <s v="Medium"/>
    <x v="11"/>
  </r>
  <r>
    <x v="14"/>
    <n v="22"/>
    <n v="2621"/>
    <n v="8.1999999999999993"/>
    <s v="Hydel"/>
    <n v="28"/>
    <x v="50"/>
    <n v="7"/>
    <n v="39.5"/>
    <s v="High"/>
    <n v="7.5"/>
    <n v="90.2"/>
    <s v="Low"/>
    <x v="14"/>
  </r>
  <r>
    <x v="12"/>
    <n v="4.2"/>
    <n v="310"/>
    <n v="9.6"/>
    <s v="Thermal"/>
    <n v="37"/>
    <x v="2"/>
    <n v="5"/>
    <n v="20.5"/>
    <s v="High"/>
    <n v="1.7"/>
    <n v="20.2"/>
    <s v="Medium"/>
    <x v="12"/>
  </r>
  <r>
    <x v="7"/>
    <n v="7.6"/>
    <n v="1091"/>
    <n v="5.5"/>
    <s v="Thermal"/>
    <n v="30"/>
    <x v="5"/>
    <n v="6"/>
    <n v="41"/>
    <s v="Medium"/>
    <n v="1.7"/>
    <n v="20.9"/>
    <s v="Medium"/>
    <x v="7"/>
  </r>
  <r>
    <x v="7"/>
    <n v="11.8"/>
    <n v="2206"/>
    <n v="8"/>
    <s v="Hydel"/>
    <n v="33"/>
    <x v="32"/>
    <n v="8"/>
    <n v="35.5"/>
    <s v="High"/>
    <n v="3.9"/>
    <n v="47.2"/>
    <s v="Medium"/>
    <x v="7"/>
  </r>
  <r>
    <x v="14"/>
    <n v="8.1"/>
    <n v="1660"/>
    <n v="6"/>
    <s v="Solar"/>
    <n v="33"/>
    <x v="34"/>
    <n v="6"/>
    <n v="31"/>
    <s v="Medium"/>
    <n v="2"/>
    <n v="24.3"/>
    <s v="Medium"/>
    <x v="14"/>
  </r>
  <r>
    <x v="1"/>
    <n v="2.2000000000000002"/>
    <n v="236"/>
    <n v="9.1"/>
    <s v="Solar"/>
    <n v="34"/>
    <x v="19"/>
    <n v="2"/>
    <n v="27"/>
    <s v="High"/>
    <n v="0.8"/>
    <n v="10"/>
    <s v="Medium"/>
    <x v="1"/>
  </r>
  <r>
    <x v="5"/>
    <n v="1.6"/>
    <n v="669"/>
    <n v="6.3"/>
    <s v="Hydel"/>
    <n v="35"/>
    <x v="52"/>
    <n v="2"/>
    <n v="42.5"/>
    <s v="High"/>
    <n v="0.4"/>
    <n v="5"/>
    <s v="Medium"/>
    <x v="5"/>
  </r>
  <r>
    <x v="1"/>
    <n v="5.8"/>
    <n v="1130"/>
    <n v="9.6999999999999993"/>
    <s v="Hydel"/>
    <n v="38"/>
    <x v="2"/>
    <n v="4"/>
    <n v="26.5"/>
    <s v="High"/>
    <n v="2.2999999999999998"/>
    <n v="28.1"/>
    <s v="Medium"/>
    <x v="1"/>
  </r>
  <r>
    <x v="4"/>
    <n v="20.399999999999999"/>
    <n v="4518"/>
    <n v="6.5"/>
    <s v="Hydel"/>
    <n v="30"/>
    <x v="32"/>
    <n v="9"/>
    <n v="32.5"/>
    <s v="High"/>
    <n v="5.5"/>
    <n v="66.3"/>
    <s v="Medium"/>
    <x v="4"/>
  </r>
  <r>
    <x v="2"/>
    <n v="14.9"/>
    <n v="2150"/>
    <n v="4.7"/>
    <s v="Wind"/>
    <n v="31"/>
    <x v="3"/>
    <n v="7"/>
    <n v="22"/>
    <s v="Medium"/>
    <n v="2.9"/>
    <n v="35"/>
    <s v="High"/>
    <x v="2"/>
  </r>
  <r>
    <x v="6"/>
    <n v="9.3000000000000007"/>
    <n v="1513"/>
    <n v="5.8"/>
    <s v="Thermal"/>
    <n v="25"/>
    <x v="36"/>
    <n v="4"/>
    <n v="46.5"/>
    <s v="Medium"/>
    <n v="2.2000000000000002"/>
    <n v="27"/>
    <s v="Medium"/>
    <x v="6"/>
  </r>
  <r>
    <x v="5"/>
    <n v="7.7"/>
    <n v="1759"/>
    <n v="4.5"/>
    <s v="Hydel"/>
    <n v="30"/>
    <x v="0"/>
    <n v="4"/>
    <n v="43"/>
    <s v="Medium"/>
    <n v="1.4"/>
    <n v="17.3"/>
    <s v="Medium"/>
    <x v="5"/>
  </r>
  <r>
    <x v="0"/>
    <n v="24.3"/>
    <n v="4934"/>
    <n v="6.8"/>
    <s v="Thermal"/>
    <n v="32"/>
    <x v="51"/>
    <n v="7"/>
    <n v="35"/>
    <s v="High"/>
    <n v="6.9"/>
    <n v="82.6"/>
    <s v="Medium"/>
    <x v="0"/>
  </r>
  <r>
    <x v="3"/>
    <n v="10.4"/>
    <n v="2658"/>
    <n v="6.6"/>
    <s v="Wind"/>
    <n v="37"/>
    <x v="46"/>
    <n v="9"/>
    <n v="9"/>
    <s v="High"/>
    <n v="2.9"/>
    <n v="34.299999999999997"/>
    <s v="High"/>
    <x v="3"/>
  </r>
  <r>
    <x v="14"/>
    <n v="12.7"/>
    <n v="3309"/>
    <n v="9"/>
    <s v="Solar"/>
    <n v="40"/>
    <x v="53"/>
    <n v="7"/>
    <n v="10.5"/>
    <s v="High"/>
    <n v="4.8"/>
    <n v="57.2"/>
    <s v="High"/>
    <x v="14"/>
  </r>
  <r>
    <x v="7"/>
    <n v="22.7"/>
    <n v="4351"/>
    <n v="4.4000000000000004"/>
    <s v="Hydel"/>
    <n v="29"/>
    <x v="4"/>
    <n v="7"/>
    <n v="33.5"/>
    <s v="Medium"/>
    <n v="4.2"/>
    <n v="49.9"/>
    <s v="Medium"/>
    <x v="7"/>
  </r>
  <r>
    <x v="11"/>
    <n v="3.3"/>
    <n v="749"/>
    <n v="9"/>
    <s v="Thermal"/>
    <n v="33"/>
    <x v="12"/>
    <n v="5"/>
    <n v="27.5"/>
    <s v="High"/>
    <n v="1.2"/>
    <n v="14.9"/>
    <s v="Medium"/>
    <x v="11"/>
  </r>
  <r>
    <x v="9"/>
    <n v="22.3"/>
    <n v="4877"/>
    <n v="5.5"/>
    <s v="Wind"/>
    <n v="30"/>
    <x v="14"/>
    <n v="6"/>
    <n v="30.5"/>
    <s v="Medium"/>
    <n v="5.0999999999999996"/>
    <n v="61.3"/>
    <s v="Medium"/>
    <x v="9"/>
  </r>
  <r>
    <x v="1"/>
    <n v="8.4"/>
    <n v="1370"/>
    <n v="5"/>
    <s v="Wind"/>
    <n v="33"/>
    <x v="30"/>
    <n v="5"/>
    <n v="24"/>
    <s v="Medium"/>
    <n v="1.8"/>
    <n v="21"/>
    <s v="Medium"/>
    <x v="1"/>
  </r>
  <r>
    <x v="3"/>
    <n v="10.5"/>
    <n v="3648"/>
    <n v="4.4000000000000004"/>
    <s v="Thermal"/>
    <n v="29"/>
    <x v="4"/>
    <n v="7"/>
    <n v="33.5"/>
    <s v="Medium"/>
    <n v="1.9"/>
    <n v="23.1"/>
    <s v="Medium"/>
    <x v="3"/>
  </r>
  <r>
    <x v="6"/>
    <n v="3"/>
    <n v="582"/>
    <n v="8.8000000000000007"/>
    <s v="Solar"/>
    <n v="32"/>
    <x v="45"/>
    <n v="4"/>
    <n v="29.5"/>
    <s v="High"/>
    <n v="1.1000000000000001"/>
    <n v="13.2"/>
    <s v="Medium"/>
    <x v="6"/>
  </r>
  <r>
    <x v="10"/>
    <n v="17.899999999999999"/>
    <n v="2526"/>
    <n v="5.6"/>
    <s v="Hydel"/>
    <n v="37"/>
    <x v="53"/>
    <n v="8"/>
    <n v="10.5"/>
    <s v="Medium"/>
    <n v="4.2"/>
    <n v="50.1"/>
    <s v="High"/>
    <x v="10"/>
  </r>
  <r>
    <x v="0"/>
    <n v="24"/>
    <n v="2441"/>
    <n v="5.2"/>
    <s v="Thermal"/>
    <n v="28"/>
    <x v="31"/>
    <n v="8"/>
    <n v="41.5"/>
    <s v="Medium"/>
    <n v="5.2"/>
    <n v="62.4"/>
    <s v="Low"/>
    <x v="0"/>
  </r>
  <r>
    <x v="2"/>
    <n v="17.7"/>
    <n v="4865"/>
    <n v="8.4"/>
    <s v="Hydel"/>
    <n v="29"/>
    <x v="56"/>
    <n v="8"/>
    <n v="33"/>
    <s v="High"/>
    <n v="6.2"/>
    <n v="74.3"/>
    <s v="Medium"/>
    <x v="2"/>
  </r>
  <r>
    <x v="11"/>
    <n v="15.4"/>
    <n v="2687"/>
    <n v="8"/>
    <s v="Hydel"/>
    <n v="40"/>
    <x v="46"/>
    <n v="7"/>
    <n v="21"/>
    <s v="High"/>
    <n v="5.0999999999999996"/>
    <n v="61.6"/>
    <s v="High"/>
    <x v="11"/>
  </r>
  <r>
    <x v="9"/>
    <n v="10.6"/>
    <n v="3100"/>
    <n v="6.7"/>
    <s v="Hydel"/>
    <n v="38"/>
    <x v="18"/>
    <n v="8"/>
    <n v="21.5"/>
    <s v="High"/>
    <n v="3"/>
    <n v="35.5"/>
    <s v="High"/>
    <x v="9"/>
  </r>
  <r>
    <x v="6"/>
    <n v="12.7"/>
    <n v="4814"/>
    <n v="8.6999999999999993"/>
    <s v="Hydel"/>
    <n v="31"/>
    <x v="14"/>
    <n v="8"/>
    <n v="25.5"/>
    <s v="High"/>
    <n v="4.5999999999999996"/>
    <n v="55.2"/>
    <s v="Medium"/>
    <x v="6"/>
  </r>
  <r>
    <x v="7"/>
    <n v="5.4"/>
    <n v="1078"/>
    <n v="9.8000000000000007"/>
    <s v="Thermal"/>
    <n v="45"/>
    <x v="2"/>
    <n v="4"/>
    <n v="24.5"/>
    <s v="High"/>
    <n v="2.2000000000000002"/>
    <n v="26.5"/>
    <s v="Medium"/>
    <x v="7"/>
  </r>
  <r>
    <x v="11"/>
    <n v="9.9"/>
    <n v="1376"/>
    <n v="8.1999999999999993"/>
    <s v="Wind"/>
    <n v="28"/>
    <x v="22"/>
    <n v="7"/>
    <n v="31"/>
    <s v="High"/>
    <n v="3.4"/>
    <n v="40.6"/>
    <s v="Medium"/>
    <x v="11"/>
  </r>
  <r>
    <x v="10"/>
    <n v="19.3"/>
    <n v="4793"/>
    <n v="6.6"/>
    <s v="Wind"/>
    <n v="37"/>
    <x v="19"/>
    <n v="9"/>
    <n v="19"/>
    <s v="High"/>
    <n v="5.3"/>
    <n v="63.7"/>
    <s v="High"/>
    <x v="10"/>
  </r>
  <r>
    <x v="11"/>
    <n v="24"/>
    <n v="2345"/>
    <n v="7.8"/>
    <s v="Wind"/>
    <n v="45"/>
    <x v="53"/>
    <n v="8"/>
    <n v="8.5"/>
    <s v="High"/>
    <n v="7.8"/>
    <n v="93.6"/>
    <s v="High"/>
    <x v="11"/>
  </r>
  <r>
    <x v="3"/>
    <n v="11.2"/>
    <n v="3008"/>
    <n v="9.6"/>
    <s v="Hydel"/>
    <n v="37"/>
    <x v="53"/>
    <n v="8"/>
    <n v="11.5"/>
    <s v="High"/>
    <n v="4.5"/>
    <n v="53.8"/>
    <s v="High"/>
    <x v="3"/>
  </r>
  <r>
    <x v="10"/>
    <n v="18.899999999999999"/>
    <n v="4519"/>
    <n v="9"/>
    <s v="Thermal"/>
    <n v="33"/>
    <x v="30"/>
    <n v="7"/>
    <n v="24"/>
    <s v="High"/>
    <n v="7.1"/>
    <n v="85.1"/>
    <s v="High"/>
    <x v="10"/>
  </r>
  <r>
    <x v="3"/>
    <n v="6.3"/>
    <n v="1350"/>
    <n v="5.0999999999999996"/>
    <s v="Thermal"/>
    <n v="27"/>
    <x v="23"/>
    <n v="5"/>
    <n v="49.5"/>
    <s v="Medium"/>
    <n v="1.3"/>
    <n v="16.100000000000001"/>
    <s v="Low"/>
    <x v="3"/>
  </r>
  <r>
    <x v="7"/>
    <n v="22.9"/>
    <n v="4561"/>
    <n v="6.8"/>
    <s v="Wind"/>
    <n v="45"/>
    <x v="58"/>
    <n v="7"/>
    <n v="10"/>
    <s v="High"/>
    <n v="6.5"/>
    <n v="77.900000000000006"/>
    <s v="High"/>
    <x v="7"/>
  </r>
  <r>
    <x v="9"/>
    <n v="15.5"/>
    <n v="4367"/>
    <n v="5"/>
    <s v="Hydel"/>
    <n v="33"/>
    <x v="25"/>
    <n v="9"/>
    <n v="35"/>
    <s v="Medium"/>
    <n v="3.2"/>
    <n v="38.799999999999997"/>
    <s v="Low"/>
    <x v="9"/>
  </r>
  <r>
    <x v="0"/>
    <n v="16.899999999999999"/>
    <n v="4771"/>
    <n v="5.0999999999999996"/>
    <s v="Thermal"/>
    <n v="27"/>
    <x v="56"/>
    <n v="8"/>
    <n v="25"/>
    <s v="Medium"/>
    <n v="3.6"/>
    <n v="43.1"/>
    <s v="Medium"/>
    <x v="0"/>
  </r>
  <r>
    <x v="7"/>
    <n v="17.3"/>
    <n v="2930"/>
    <n v="8.8000000000000007"/>
    <s v="Solar"/>
    <n v="32"/>
    <x v="56"/>
    <n v="6"/>
    <n v="30"/>
    <s v="High"/>
    <n v="6.3"/>
    <n v="76.099999999999994"/>
    <s v="Medium"/>
    <x v="7"/>
  </r>
  <r>
    <x v="3"/>
    <n v="14.2"/>
    <n v="3991"/>
    <n v="8"/>
    <s v="Thermal"/>
    <n v="33"/>
    <x v="5"/>
    <n v="6"/>
    <n v="36"/>
    <s v="High"/>
    <n v="4.7"/>
    <n v="56.8"/>
    <s v="Medium"/>
    <x v="3"/>
  </r>
  <r>
    <x v="2"/>
    <n v="18.399999999999999"/>
    <n v="4903"/>
    <n v="6"/>
    <s v="Thermal"/>
    <n v="40"/>
    <x v="58"/>
    <n v="6"/>
    <n v="12"/>
    <s v="Medium"/>
    <n v="4.5999999999999996"/>
    <n v="55.2"/>
    <s v="High"/>
    <x v="2"/>
  </r>
  <r>
    <x v="12"/>
    <n v="23"/>
    <n v="4315"/>
    <n v="7.7"/>
    <s v="Hydel"/>
    <n v="31"/>
    <x v="9"/>
    <n v="9"/>
    <n v="22"/>
    <s v="High"/>
    <n v="7.4"/>
    <n v="88.6"/>
    <s v="High"/>
    <x v="12"/>
  </r>
  <r>
    <x v="8"/>
    <n v="8.4"/>
    <n v="1641"/>
    <n v="5.5"/>
    <s v="Solar"/>
    <n v="30"/>
    <x v="4"/>
    <n v="5"/>
    <n v="32.5"/>
    <s v="Medium"/>
    <n v="1.9"/>
    <n v="23.1"/>
    <s v="Medium"/>
    <x v="8"/>
  </r>
  <r>
    <x v="5"/>
    <n v="19.600000000000001"/>
    <n v="3557"/>
    <n v="9.3000000000000007"/>
    <s v="Wind"/>
    <n v="42"/>
    <x v="39"/>
    <n v="6"/>
    <n v="27"/>
    <s v="High"/>
    <n v="7.6"/>
    <n v="91.1"/>
    <s v="Medium"/>
    <x v="5"/>
  </r>
  <r>
    <x v="5"/>
    <n v="4.5999999999999996"/>
    <n v="647"/>
    <n v="8.3000000000000007"/>
    <s v="Hydel"/>
    <n v="35"/>
    <x v="13"/>
    <n v="2"/>
    <n v="38.5"/>
    <s v="High"/>
    <n v="1.6"/>
    <n v="19.100000000000001"/>
    <s v="Medium"/>
    <x v="5"/>
  </r>
  <r>
    <x v="8"/>
    <n v="13.9"/>
    <n v="3314"/>
    <n v="6.5"/>
    <s v="Hydel"/>
    <n v="30"/>
    <x v="36"/>
    <n v="7"/>
    <n v="35.5"/>
    <s v="High"/>
    <n v="3.8"/>
    <n v="45.2"/>
    <s v="Medium"/>
    <x v="8"/>
  </r>
  <r>
    <x v="5"/>
    <n v="22.3"/>
    <n v="4790"/>
    <n v="6.3"/>
    <s v="Hydel"/>
    <n v="35"/>
    <x v="32"/>
    <n v="9"/>
    <n v="34.5"/>
    <s v="High"/>
    <n v="5.9"/>
    <n v="70.2"/>
    <s v="Medium"/>
    <x v="5"/>
  </r>
  <r>
    <x v="10"/>
    <n v="12.9"/>
    <n v="3331"/>
    <n v="7.3"/>
    <s v="Thermal"/>
    <n v="35"/>
    <x v="0"/>
    <n v="9"/>
    <n v="33"/>
    <s v="High"/>
    <n v="3.9"/>
    <n v="47.1"/>
    <s v="Medium"/>
    <x v="10"/>
  </r>
  <r>
    <x v="9"/>
    <n v="18.899999999999999"/>
    <n v="3429"/>
    <n v="6.7"/>
    <s v="Thermal"/>
    <n v="31"/>
    <x v="9"/>
    <n v="7"/>
    <n v="17"/>
    <s v="High"/>
    <n v="5.3"/>
    <n v="63.3"/>
    <s v="High"/>
    <x v="9"/>
  </r>
  <r>
    <x v="3"/>
    <n v="8.9"/>
    <n v="1374"/>
    <n v="10.3"/>
    <s v="Thermal"/>
    <n v="42"/>
    <x v="46"/>
    <n v="4"/>
    <n v="20"/>
    <s v="Critical"/>
    <n v="3.8"/>
    <n v="45.8"/>
    <s v="Medium"/>
    <x v="3"/>
  </r>
  <r>
    <x v="12"/>
    <n v="12.7"/>
    <n v="3703"/>
    <n v="9.3000000000000007"/>
    <s v="Thermal"/>
    <n v="42"/>
    <x v="37"/>
    <n v="6"/>
    <n v="26"/>
    <s v="High"/>
    <n v="4.9000000000000004"/>
    <n v="59.1"/>
    <s v="High"/>
    <x v="12"/>
  </r>
  <r>
    <x v="14"/>
    <n v="8.6999999999999993"/>
    <n v="1288"/>
    <n v="4.4000000000000004"/>
    <s v="Wind"/>
    <n v="29"/>
    <x v="45"/>
    <n v="4"/>
    <n v="31.5"/>
    <s v="Medium"/>
    <n v="1.6"/>
    <n v="19.100000000000001"/>
    <s v="Medium"/>
    <x v="14"/>
  </r>
  <r>
    <x v="8"/>
    <n v="18"/>
    <n v="3187"/>
    <n v="4.0999999999999996"/>
    <s v="Thermal"/>
    <n v="27"/>
    <x v="33"/>
    <n v="7"/>
    <n v="30"/>
    <s v="Medium"/>
    <n v="3.1"/>
    <n v="36.9"/>
    <s v="Medium"/>
    <x v="8"/>
  </r>
  <r>
    <x v="2"/>
    <n v="14.6"/>
    <n v="4173"/>
    <n v="10.8"/>
    <s v="Solar"/>
    <n v="45"/>
    <x v="2"/>
    <n v="7"/>
    <n v="22.5"/>
    <s v="Critical"/>
    <n v="6.6"/>
    <n v="78.8"/>
    <s v="High"/>
    <x v="2"/>
  </r>
  <r>
    <x v="7"/>
    <n v="5.6"/>
    <n v="1865"/>
    <n v="7.8"/>
    <s v="Thermal"/>
    <n v="25"/>
    <x v="29"/>
    <n v="4"/>
    <n v="44"/>
    <s v="High"/>
    <n v="1.8"/>
    <n v="21.8"/>
    <s v="Low"/>
    <x v="7"/>
  </r>
  <r>
    <x v="0"/>
    <n v="18.8"/>
    <n v="2167"/>
    <n v="6.6"/>
    <s v="Thermal"/>
    <n v="37"/>
    <x v="57"/>
    <n v="6"/>
    <n v="15.5"/>
    <s v="High"/>
    <n v="5.2"/>
    <n v="62"/>
    <s v="High"/>
    <x v="0"/>
  </r>
  <r>
    <x v="6"/>
    <n v="13.8"/>
    <n v="3122"/>
    <n v="4.2"/>
    <s v="Solar"/>
    <n v="28"/>
    <x v="59"/>
    <n v="8"/>
    <n v="48"/>
    <s v="Medium"/>
    <n v="2.4"/>
    <n v="29"/>
    <s v="Low"/>
    <x v="6"/>
  </r>
  <r>
    <x v="8"/>
    <n v="3.5"/>
    <n v="750"/>
    <n v="8.6"/>
    <s v="Thermal"/>
    <n v="37"/>
    <x v="15"/>
    <n v="4"/>
    <n v="22"/>
    <s v="High"/>
    <n v="1.3"/>
    <n v="15.1"/>
    <s v="Medium"/>
    <x v="8"/>
  </r>
  <r>
    <x v="3"/>
    <n v="13.2"/>
    <n v="3469"/>
    <n v="8.1999999999999993"/>
    <s v="Solar"/>
    <n v="28"/>
    <x v="60"/>
    <n v="7"/>
    <n v="43.5"/>
    <s v="High"/>
    <n v="4.5"/>
    <n v="54.1"/>
    <s v="Low"/>
    <x v="3"/>
  </r>
  <r>
    <x v="14"/>
    <n v="9.3000000000000007"/>
    <n v="1152"/>
    <n v="4.5"/>
    <s v="Thermal"/>
    <n v="30"/>
    <x v="33"/>
    <n v="5"/>
    <n v="33"/>
    <s v="Medium"/>
    <n v="1.7"/>
    <n v="20.9"/>
    <s v="Medium"/>
    <x v="14"/>
  </r>
  <r>
    <x v="6"/>
    <n v="1.8"/>
    <n v="412"/>
    <n v="10.8"/>
    <s v="Solar"/>
    <n v="45"/>
    <x v="12"/>
    <n v="3"/>
    <n v="33.5"/>
    <s v="Critical"/>
    <n v="0.8"/>
    <n v="9.6999999999999993"/>
    <s v="Medium"/>
    <x v="6"/>
  </r>
  <r>
    <x v="12"/>
    <n v="16.600000000000001"/>
    <n v="4762"/>
    <n v="7.7"/>
    <s v="Solar"/>
    <n v="31"/>
    <x v="5"/>
    <n v="8"/>
    <n v="34"/>
    <s v="High"/>
    <n v="5.3"/>
    <n v="63.9"/>
    <s v="Medium"/>
    <x v="12"/>
  </r>
  <r>
    <x v="5"/>
    <n v="15"/>
    <n v="4874"/>
    <n v="8.6"/>
    <s v="Thermal"/>
    <n v="37"/>
    <x v="46"/>
    <n v="6"/>
    <n v="24"/>
    <s v="High"/>
    <n v="5.4"/>
    <n v="64.5"/>
    <s v="High"/>
    <x v="5"/>
  </r>
  <r>
    <x v="2"/>
    <n v="8.3000000000000007"/>
    <n v="1113"/>
    <n v="7.8"/>
    <s v="Wind"/>
    <n v="45"/>
    <x v="3"/>
    <n v="5"/>
    <n v="23"/>
    <s v="High"/>
    <n v="2.7"/>
    <n v="32.4"/>
    <s v="Medium"/>
    <x v="2"/>
  </r>
  <r>
    <x v="8"/>
    <n v="6.7"/>
    <n v="1468"/>
    <n v="5.8"/>
    <s v="Thermal"/>
    <n v="32"/>
    <x v="0"/>
    <n v="6"/>
    <n v="33"/>
    <s v="Medium"/>
    <n v="1.6"/>
    <n v="19.399999999999999"/>
    <s v="Medium"/>
    <x v="8"/>
  </r>
  <r>
    <x v="10"/>
    <n v="24.7"/>
    <n v="2334"/>
    <n v="4.2"/>
    <s v="Wind"/>
    <n v="28"/>
    <x v="33"/>
    <n v="9"/>
    <n v="25"/>
    <s v="Medium"/>
    <n v="4.3"/>
    <n v="51.9"/>
    <s v="Medium"/>
    <x v="10"/>
  </r>
  <r>
    <x v="9"/>
    <n v="10.7"/>
    <n v="4465"/>
    <n v="7.1"/>
    <s v="Wind"/>
    <n v="27"/>
    <x v="61"/>
    <n v="6"/>
    <n v="47"/>
    <s v="High"/>
    <n v="3.2"/>
    <n v="38"/>
    <s v="Low"/>
    <x v="9"/>
  </r>
  <r>
    <x v="10"/>
    <n v="10.9"/>
    <n v="2355"/>
    <n v="8.4"/>
    <s v="Solar"/>
    <n v="29"/>
    <x v="45"/>
    <n v="8"/>
    <n v="27.5"/>
    <s v="High"/>
    <n v="3.8"/>
    <n v="45.8"/>
    <s v="Medium"/>
    <x v="10"/>
  </r>
  <r>
    <x v="12"/>
    <n v="14.1"/>
    <n v="4274"/>
    <n v="8.1"/>
    <s v="Wind"/>
    <n v="34"/>
    <x v="45"/>
    <n v="7"/>
    <n v="26.5"/>
    <s v="High"/>
    <n v="4.8"/>
    <n v="57.1"/>
    <s v="Medium"/>
    <x v="12"/>
  </r>
  <r>
    <x v="0"/>
    <n v="8.4"/>
    <n v="1211"/>
    <n v="6.1"/>
    <s v="Thermal"/>
    <n v="34"/>
    <x v="42"/>
    <n v="5"/>
    <n v="37.5"/>
    <s v="High"/>
    <n v="2.1"/>
    <n v="25.6"/>
    <s v="Medium"/>
    <x v="0"/>
  </r>
  <r>
    <x v="8"/>
    <n v="18.2"/>
    <n v="2224"/>
    <n v="5.8"/>
    <s v="Thermal"/>
    <n v="25"/>
    <x v="29"/>
    <n v="6"/>
    <n v="39"/>
    <s v="Medium"/>
    <n v="4.4000000000000004"/>
    <n v="52.8"/>
    <s v="Low"/>
    <x v="8"/>
  </r>
  <r>
    <x v="3"/>
    <n v="8.3000000000000007"/>
    <n v="1415"/>
    <n v="4.0999999999999996"/>
    <s v="Thermal"/>
    <n v="27"/>
    <x v="61"/>
    <n v="4"/>
    <n v="51"/>
    <s v="Medium"/>
    <n v="1.4"/>
    <n v="17"/>
    <s v="Low"/>
    <x v="3"/>
  </r>
  <r>
    <x v="10"/>
    <n v="21.6"/>
    <n v="2182"/>
    <n v="7.8"/>
    <s v="Wind"/>
    <n v="45"/>
    <x v="57"/>
    <n v="8"/>
    <n v="11.5"/>
    <s v="High"/>
    <n v="7"/>
    <n v="84.2"/>
    <s v="High"/>
    <x v="10"/>
  </r>
  <r>
    <x v="14"/>
    <n v="17.8"/>
    <n v="3492"/>
    <n v="8"/>
    <s v="Solar"/>
    <n v="33"/>
    <x v="13"/>
    <n v="9"/>
    <n v="22.5"/>
    <s v="High"/>
    <n v="5.9"/>
    <n v="71.2"/>
    <s v="High"/>
    <x v="14"/>
  </r>
  <r>
    <x v="10"/>
    <n v="15.5"/>
    <n v="2891"/>
    <n v="8"/>
    <s v="Thermal"/>
    <n v="40"/>
    <x v="13"/>
    <n v="6"/>
    <n v="29.5"/>
    <s v="High"/>
    <n v="5.2"/>
    <n v="62"/>
    <s v="High"/>
    <x v="10"/>
  </r>
  <r>
    <x v="4"/>
    <n v="11.3"/>
    <n v="4427"/>
    <n v="5.5"/>
    <s v="Wind"/>
    <n v="30"/>
    <x v="56"/>
    <n v="8"/>
    <n v="28"/>
    <s v="Medium"/>
    <n v="2.6"/>
    <n v="31.1"/>
    <s v="Medium"/>
    <x v="4"/>
  </r>
  <r>
    <x v="6"/>
    <n v="10.199999999999999"/>
    <n v="2888"/>
    <n v="4.4000000000000004"/>
    <s v="Wind"/>
    <n v="29"/>
    <x v="8"/>
    <n v="6"/>
    <n v="44.5"/>
    <s v="Medium"/>
    <n v="1.9"/>
    <n v="22.4"/>
    <s v="Low"/>
    <x v="6"/>
  </r>
  <r>
    <x v="9"/>
    <n v="21.4"/>
    <n v="4545"/>
    <n v="5.7"/>
    <s v="Wind"/>
    <n v="31"/>
    <x v="56"/>
    <n v="6"/>
    <n v="39"/>
    <s v="Medium"/>
    <n v="5.0999999999999996"/>
    <n v="61"/>
    <s v="Medium"/>
    <x v="9"/>
  </r>
  <r>
    <x v="0"/>
    <n v="9.4"/>
    <n v="1500"/>
    <n v="6.2"/>
    <s v="Hydel"/>
    <n v="28"/>
    <x v="61"/>
    <n v="5"/>
    <n v="47"/>
    <s v="High"/>
    <n v="2.4"/>
    <n v="29.1"/>
    <s v="Low"/>
    <x v="0"/>
  </r>
  <r>
    <x v="7"/>
    <n v="23.6"/>
    <n v="2248"/>
    <n v="5.2"/>
    <s v="Hydel"/>
    <n v="28"/>
    <x v="25"/>
    <n v="9"/>
    <n v="29"/>
    <s v="Medium"/>
    <n v="5.0999999999999996"/>
    <n v="61.4"/>
    <s v="Low"/>
    <x v="7"/>
  </r>
  <r>
    <x v="7"/>
    <n v="11.1"/>
    <n v="3528"/>
    <n v="6.8"/>
    <s v="Thermal"/>
    <n v="25"/>
    <x v="22"/>
    <n v="6"/>
    <n v="32"/>
    <s v="High"/>
    <n v="3.1"/>
    <n v="37.700000000000003"/>
    <s v="Medium"/>
    <x v="7"/>
  </r>
  <r>
    <x v="3"/>
    <n v="9"/>
    <n v="837"/>
    <n v="6.1"/>
    <s v="Solar"/>
    <n v="27"/>
    <x v="31"/>
    <n v="7"/>
    <n v="44.5"/>
    <s v="High"/>
    <n v="2.2999999999999998"/>
    <n v="27.5"/>
    <s v="Low"/>
    <x v="3"/>
  </r>
  <r>
    <x v="1"/>
    <n v="16.600000000000001"/>
    <n v="2014"/>
    <n v="4.8"/>
    <s v="Wind"/>
    <n v="32"/>
    <x v="43"/>
    <n v="9"/>
    <n v="27.5"/>
    <s v="Medium"/>
    <n v="3.3"/>
    <n v="39.799999999999997"/>
    <s v="Medium"/>
    <x v="1"/>
  </r>
  <r>
    <x v="12"/>
    <n v="13.4"/>
    <n v="4091"/>
    <n v="4.8"/>
    <s v="Wind"/>
    <n v="32"/>
    <x v="27"/>
    <n v="8"/>
    <n v="26.5"/>
    <s v="Medium"/>
    <n v="2.7"/>
    <n v="32.200000000000003"/>
    <s v="Medium"/>
    <x v="12"/>
  </r>
  <r>
    <x v="5"/>
    <n v="10.199999999999999"/>
    <n v="4193"/>
    <n v="7.5"/>
    <s v="Wind"/>
    <n v="30"/>
    <x v="42"/>
    <n v="7"/>
    <n v="29.5"/>
    <s v="High"/>
    <n v="3.2"/>
    <n v="38.299999999999997"/>
    <s v="Medium"/>
    <x v="5"/>
  </r>
  <r>
    <x v="4"/>
    <n v="6"/>
    <n v="1365"/>
    <n v="6.8"/>
    <s v="Wind"/>
    <n v="45"/>
    <x v="6"/>
    <n v="5"/>
    <n v="15"/>
    <s v="High"/>
    <n v="1.7"/>
    <n v="20.399999999999999"/>
    <s v="Medium"/>
    <x v="4"/>
  </r>
  <r>
    <x v="5"/>
    <n v="2.7"/>
    <n v="482"/>
    <n v="6.2"/>
    <s v="Wind"/>
    <n v="28"/>
    <x v="52"/>
    <n v="3"/>
    <n v="34.5"/>
    <s v="High"/>
    <n v="0.7"/>
    <n v="8.4"/>
    <s v="Medium"/>
    <x v="5"/>
  </r>
  <r>
    <x v="3"/>
    <n v="1.7"/>
    <n v="742"/>
    <n v="7.2"/>
    <s v="Solar"/>
    <n v="28"/>
    <x v="31"/>
    <n v="4"/>
    <n v="44.5"/>
    <s v="High"/>
    <n v="0.5"/>
    <n v="6.1"/>
    <s v="Low"/>
    <x v="3"/>
  </r>
  <r>
    <x v="12"/>
    <n v="14.3"/>
    <n v="4561"/>
    <n v="8.6"/>
    <s v="Wind"/>
    <n v="37"/>
    <x v="17"/>
    <n v="9"/>
    <n v="14.5"/>
    <s v="High"/>
    <n v="5.0999999999999996"/>
    <n v="61.5"/>
    <s v="High"/>
    <x v="12"/>
  </r>
  <r>
    <x v="12"/>
    <n v="12.5"/>
    <n v="3611"/>
    <n v="8.8000000000000007"/>
    <s v="Thermal"/>
    <n v="45"/>
    <x v="53"/>
    <n v="6"/>
    <n v="18.5"/>
    <s v="High"/>
    <n v="4.5999999999999996"/>
    <n v="55"/>
    <s v="High"/>
    <x v="12"/>
  </r>
  <r>
    <x v="2"/>
    <n v="9.3000000000000007"/>
    <n v="853"/>
    <n v="5.8"/>
    <s v="Thermal"/>
    <n v="25"/>
    <x v="4"/>
    <n v="7"/>
    <n v="33.5"/>
    <s v="Medium"/>
    <n v="2.2000000000000002"/>
    <n v="27"/>
    <s v="Medium"/>
    <x v="2"/>
  </r>
  <r>
    <x v="0"/>
    <n v="8.6999999999999993"/>
    <n v="1920"/>
    <n v="4.0999999999999996"/>
    <s v="Solar"/>
    <n v="27"/>
    <x v="42"/>
    <n v="6"/>
    <n v="37.5"/>
    <s v="Medium"/>
    <n v="1.5"/>
    <n v="17.8"/>
    <s v="Medium"/>
    <x v="0"/>
  </r>
  <r>
    <x v="7"/>
    <n v="10.6"/>
    <n v="3762"/>
    <n v="7.2"/>
    <s v="Thermal"/>
    <n v="28"/>
    <x v="14"/>
    <n v="7"/>
    <n v="34.5"/>
    <s v="High"/>
    <n v="3.2"/>
    <n v="38.200000000000003"/>
    <s v="Medium"/>
    <x v="7"/>
  </r>
  <r>
    <x v="13"/>
    <n v="2.1"/>
    <n v="793"/>
    <n v="6"/>
    <s v="Thermal"/>
    <n v="33"/>
    <x v="4"/>
    <n v="3"/>
    <n v="42.5"/>
    <s v="Medium"/>
    <n v="0.5"/>
    <n v="6.3"/>
    <s v="Medium"/>
    <x v="13"/>
  </r>
  <r>
    <x v="4"/>
    <n v="14.3"/>
    <n v="4395"/>
    <n v="6.7"/>
    <s v="Thermal"/>
    <n v="38"/>
    <x v="26"/>
    <n v="7"/>
    <n v="21"/>
    <s v="High"/>
    <n v="4"/>
    <n v="47.9"/>
    <s v="High"/>
    <x v="4"/>
  </r>
  <r>
    <x v="9"/>
    <n v="16.3"/>
    <n v="2450"/>
    <n v="4.8"/>
    <s v="Thermal"/>
    <n v="25"/>
    <x v="36"/>
    <n v="7"/>
    <n v="40.5"/>
    <s v="Medium"/>
    <n v="3.3"/>
    <n v="39.1"/>
    <s v="Medium"/>
    <x v="9"/>
  </r>
  <r>
    <x v="4"/>
    <n v="20.399999999999999"/>
    <n v="2551"/>
    <n v="7.1"/>
    <s v="Thermal"/>
    <n v="27"/>
    <x v="28"/>
    <n v="8"/>
    <n v="42.5"/>
    <s v="High"/>
    <n v="6"/>
    <n v="72.400000000000006"/>
    <s v="Low"/>
    <x v="4"/>
  </r>
  <r>
    <x v="11"/>
    <n v="11.3"/>
    <n v="3399"/>
    <n v="6.7"/>
    <s v="Thermal"/>
    <n v="38"/>
    <x v="35"/>
    <n v="6"/>
    <n v="11.5"/>
    <s v="High"/>
    <n v="3.2"/>
    <n v="37.9"/>
    <s v="High"/>
    <x v="11"/>
  </r>
  <r>
    <x v="3"/>
    <n v="17.2"/>
    <n v="4552"/>
    <n v="4.8"/>
    <s v="Wind"/>
    <n v="25"/>
    <x v="56"/>
    <n v="7"/>
    <n v="35"/>
    <s v="Medium"/>
    <n v="3.4"/>
    <n v="41.3"/>
    <s v="Medium"/>
    <x v="3"/>
  </r>
  <r>
    <x v="8"/>
    <n v="21.6"/>
    <n v="2467"/>
    <n v="7.7"/>
    <s v="Hydel"/>
    <n v="38"/>
    <x v="58"/>
    <n v="9"/>
    <n v="11"/>
    <s v="High"/>
    <n v="6.9"/>
    <n v="83.2"/>
    <s v="High"/>
    <x v="8"/>
  </r>
  <r>
    <x v="5"/>
    <n v="19.5"/>
    <n v="3384"/>
    <n v="9.8000000000000007"/>
    <s v="Wind"/>
    <n v="45"/>
    <x v="46"/>
    <n v="6"/>
    <n v="15"/>
    <s v="High"/>
    <n v="8"/>
    <n v="95.6"/>
    <s v="High"/>
    <x v="5"/>
  </r>
  <r>
    <x v="13"/>
    <n v="6.4"/>
    <n v="1841"/>
    <n v="8.6999999999999993"/>
    <s v="Wind"/>
    <n v="31"/>
    <x v="33"/>
    <n v="4"/>
    <n v="30"/>
    <s v="High"/>
    <n v="2.2999999999999998"/>
    <n v="27.8"/>
    <s v="Medium"/>
    <x v="13"/>
  </r>
  <r>
    <x v="2"/>
    <n v="1.3"/>
    <n v="324"/>
    <n v="8.8000000000000007"/>
    <s v="Solar"/>
    <n v="45"/>
    <x v="12"/>
    <n v="4"/>
    <n v="33.5"/>
    <s v="High"/>
    <n v="0.5"/>
    <n v="5.7"/>
    <s v="Medium"/>
    <x v="2"/>
  </r>
  <r>
    <x v="0"/>
    <n v="3"/>
    <n v="768"/>
    <n v="6"/>
    <s v="Thermal"/>
    <n v="33"/>
    <x v="42"/>
    <n v="5"/>
    <n v="39.5"/>
    <s v="Medium"/>
    <n v="0.8"/>
    <n v="9"/>
    <s v="Medium"/>
    <x v="0"/>
  </r>
  <r>
    <x v="13"/>
    <n v="24.3"/>
    <n v="3782"/>
    <n v="9.3000000000000007"/>
    <s v="Thermal"/>
    <n v="35"/>
    <x v="54"/>
    <n v="8"/>
    <n v="23.5"/>
    <s v="High"/>
    <n v="9.4"/>
    <n v="113"/>
    <s v="High"/>
    <x v="13"/>
  </r>
  <r>
    <x v="11"/>
    <n v="23"/>
    <n v="3243"/>
    <n v="9.6999999999999993"/>
    <s v="Hydel"/>
    <n v="38"/>
    <x v="2"/>
    <n v="7"/>
    <n v="24.5"/>
    <s v="High"/>
    <n v="9.3000000000000007"/>
    <n v="111.6"/>
    <s v="High"/>
    <x v="11"/>
  </r>
  <r>
    <x v="0"/>
    <n v="22.4"/>
    <n v="2487"/>
    <n v="4.5"/>
    <s v="Wind"/>
    <n v="30"/>
    <x v="44"/>
    <n v="6"/>
    <n v="48"/>
    <s v="Medium"/>
    <n v="4.2"/>
    <n v="50.4"/>
    <s v="Low"/>
    <x v="0"/>
  </r>
  <r>
    <x v="7"/>
    <n v="20.100000000000001"/>
    <n v="2623"/>
    <n v="5.0999999999999996"/>
    <s v="Thermal"/>
    <n v="34"/>
    <x v="3"/>
    <n v="9"/>
    <n v="18"/>
    <s v="Medium"/>
    <n v="4.3"/>
    <n v="51.3"/>
    <s v="High"/>
    <x v="7"/>
  </r>
  <r>
    <x v="0"/>
    <n v="7.5"/>
    <n v="1772"/>
    <n v="6.6"/>
    <s v="Thermal"/>
    <n v="37"/>
    <x v="57"/>
    <n v="6"/>
    <n v="18.5"/>
    <s v="High"/>
    <n v="2.1"/>
    <n v="24.8"/>
    <s v="High"/>
    <x v="0"/>
  </r>
  <r>
    <x v="14"/>
    <n v="4"/>
    <n v="324"/>
    <n v="8.3000000000000007"/>
    <s v="Hydel"/>
    <n v="35"/>
    <x v="14"/>
    <n v="3"/>
    <n v="42.5"/>
    <s v="High"/>
    <n v="1.4"/>
    <n v="16.600000000000001"/>
    <s v="Medium"/>
    <x v="14"/>
  </r>
  <r>
    <x v="14"/>
    <n v="6.3"/>
    <n v="1040"/>
    <n v="6.2"/>
    <s v="Hydel"/>
    <n v="28"/>
    <x v="56"/>
    <n v="4"/>
    <n v="40"/>
    <s v="High"/>
    <n v="1.6"/>
    <n v="19.5"/>
    <s v="Medium"/>
    <x v="14"/>
  </r>
  <r>
    <x v="1"/>
    <n v="21.7"/>
    <n v="3727"/>
    <n v="7"/>
    <s v="Hydel"/>
    <n v="33"/>
    <x v="3"/>
    <n v="8"/>
    <n v="25"/>
    <s v="High"/>
    <n v="6.3"/>
    <n v="76"/>
    <s v="High"/>
    <x v="1"/>
  </r>
  <r>
    <x v="11"/>
    <n v="1.5"/>
    <n v="339"/>
    <n v="8.4"/>
    <s v="Thermal"/>
    <n v="29"/>
    <x v="23"/>
    <n v="4"/>
    <n v="44.5"/>
    <s v="High"/>
    <n v="0.5"/>
    <n v="6.3"/>
    <s v="Low"/>
    <x v="11"/>
  </r>
  <r>
    <x v="2"/>
    <n v="22.8"/>
    <n v="3345"/>
    <n v="6.4"/>
    <s v="Thermal"/>
    <n v="29"/>
    <x v="40"/>
    <n v="6"/>
    <n v="47"/>
    <s v="High"/>
    <n v="6.1"/>
    <n v="73"/>
    <s v="Low"/>
    <x v="2"/>
  </r>
  <r>
    <x v="4"/>
    <n v="12.5"/>
    <n v="3162"/>
    <n v="7"/>
    <s v="Thermal"/>
    <n v="40"/>
    <x v="21"/>
    <n v="6"/>
    <n v="32"/>
    <s v="High"/>
    <n v="3.6"/>
    <n v="43.8"/>
    <s v="High"/>
    <x v="4"/>
  </r>
  <r>
    <x v="10"/>
    <n v="11.3"/>
    <n v="3721"/>
    <n v="6.6"/>
    <s v="Thermal"/>
    <n v="37"/>
    <x v="15"/>
    <n v="9"/>
    <n v="8"/>
    <s v="High"/>
    <n v="3.1"/>
    <n v="37.299999999999997"/>
    <s v="High"/>
    <x v="10"/>
  </r>
  <r>
    <x v="5"/>
    <n v="17.399999999999999"/>
    <n v="2529"/>
    <n v="5.4"/>
    <s v="Thermal"/>
    <n v="29"/>
    <x v="51"/>
    <n v="9"/>
    <n v="30"/>
    <s v="Medium"/>
    <n v="3.9"/>
    <n v="47"/>
    <s v="Medium"/>
    <x v="5"/>
  </r>
  <r>
    <x v="1"/>
    <n v="7.2"/>
    <n v="808"/>
    <n v="8.1"/>
    <s v="Wind"/>
    <n v="27"/>
    <x v="40"/>
    <n v="7"/>
    <n v="37"/>
    <s v="High"/>
    <n v="2.4"/>
    <n v="29.2"/>
    <s v="Low"/>
    <x v="1"/>
  </r>
  <r>
    <x v="0"/>
    <n v="20"/>
    <n v="4960"/>
    <n v="7.1"/>
    <s v="Solar"/>
    <n v="27"/>
    <x v="43"/>
    <n v="6"/>
    <n v="28.5"/>
    <s v="High"/>
    <n v="5.9"/>
    <n v="71"/>
    <s v="Medium"/>
    <x v="0"/>
  </r>
  <r>
    <x v="14"/>
    <n v="21.1"/>
    <n v="4756"/>
    <n v="7.7"/>
    <s v="Thermal"/>
    <n v="31"/>
    <x v="16"/>
    <n v="9"/>
    <n v="18.5"/>
    <s v="High"/>
    <n v="6.8"/>
    <n v="81.2"/>
    <s v="Medium"/>
    <x v="14"/>
  </r>
  <r>
    <x v="1"/>
    <n v="13"/>
    <n v="2829"/>
    <n v="8.6"/>
    <s v="Wind"/>
    <n v="37"/>
    <x v="19"/>
    <n v="6"/>
    <n v="20"/>
    <s v="High"/>
    <n v="4.7"/>
    <n v="55.9"/>
    <s v="High"/>
    <x v="1"/>
  </r>
  <r>
    <x v="7"/>
    <n v="8.4"/>
    <n v="839"/>
    <n v="5.7"/>
    <s v="Hydel"/>
    <n v="31"/>
    <x v="43"/>
    <n v="4"/>
    <n v="40.5"/>
    <s v="Medium"/>
    <n v="2"/>
    <n v="23.9"/>
    <s v="Medium"/>
    <x v="7"/>
  </r>
  <r>
    <x v="12"/>
    <n v="6"/>
    <n v="1510"/>
    <n v="5.8"/>
    <s v="Wind"/>
    <n v="32"/>
    <x v="51"/>
    <n v="6"/>
    <n v="36"/>
    <s v="Medium"/>
    <n v="1.5"/>
    <n v="17.399999999999999"/>
    <s v="Medium"/>
    <x v="12"/>
  </r>
  <r>
    <x v="9"/>
    <n v="23.4"/>
    <n v="4950"/>
    <n v="8.3000000000000007"/>
    <s v="Hydel"/>
    <n v="42"/>
    <x v="15"/>
    <n v="8"/>
    <n v="14"/>
    <s v="High"/>
    <n v="8.1"/>
    <n v="97.1"/>
    <s v="High"/>
    <x v="9"/>
  </r>
  <r>
    <x v="6"/>
    <n v="24.3"/>
    <n v="3674"/>
    <n v="8.1999999999999993"/>
    <s v="Thermal"/>
    <n v="28"/>
    <x v="31"/>
    <n v="9"/>
    <n v="41.5"/>
    <s v="High"/>
    <n v="8.3000000000000007"/>
    <n v="99.6"/>
    <s v="Low"/>
    <x v="6"/>
  </r>
  <r>
    <x v="6"/>
    <n v="11"/>
    <n v="3438"/>
    <n v="7"/>
    <s v="Solar"/>
    <n v="33"/>
    <x v="36"/>
    <n v="8"/>
    <n v="37.5"/>
    <s v="High"/>
    <n v="3.2"/>
    <n v="38.5"/>
    <s v="Medium"/>
    <x v="6"/>
  </r>
  <r>
    <x v="13"/>
    <n v="24.6"/>
    <n v="2777"/>
    <n v="5.8"/>
    <s v="Thermal"/>
    <n v="32"/>
    <x v="22"/>
    <n v="6"/>
    <n v="36"/>
    <s v="Medium"/>
    <n v="5.9"/>
    <n v="71.3"/>
    <s v="Medium"/>
    <x v="13"/>
  </r>
  <r>
    <x v="0"/>
    <n v="22.9"/>
    <n v="3205"/>
    <n v="7.1"/>
    <s v="Thermal"/>
    <n v="34"/>
    <x v="19"/>
    <n v="6"/>
    <n v="25"/>
    <s v="High"/>
    <n v="6.8"/>
    <n v="81.3"/>
    <s v="High"/>
    <x v="0"/>
  </r>
  <r>
    <x v="12"/>
    <n v="7.3"/>
    <n v="1708"/>
    <n v="8.1999999999999993"/>
    <s v="Hydel"/>
    <n v="28"/>
    <x v="62"/>
    <n v="5"/>
    <n v="45.5"/>
    <s v="High"/>
    <n v="2.5"/>
    <n v="29.9"/>
    <s v="Low"/>
    <x v="12"/>
  </r>
  <r>
    <x v="2"/>
    <n v="3.2"/>
    <n v="486"/>
    <n v="6.1"/>
    <s v="Hydel"/>
    <n v="34"/>
    <x v="10"/>
    <n v="4"/>
    <n v="23.5"/>
    <s v="High"/>
    <n v="0.8"/>
    <n v="9.8000000000000007"/>
    <s v="Medium"/>
    <x v="2"/>
  </r>
  <r>
    <x v="0"/>
    <n v="8.9"/>
    <n v="1754"/>
    <n v="7.3"/>
    <s v="Thermal"/>
    <n v="35"/>
    <x v="9"/>
    <n v="4"/>
    <n v="29"/>
    <s v="High"/>
    <n v="2.7"/>
    <n v="32.5"/>
    <s v="Medium"/>
    <x v="0"/>
  </r>
  <r>
    <x v="1"/>
    <n v="7.6"/>
    <n v="1845"/>
    <n v="4.8"/>
    <s v="Hydel"/>
    <n v="25"/>
    <x v="25"/>
    <n v="7"/>
    <n v="37"/>
    <s v="Medium"/>
    <n v="1.5"/>
    <n v="18.2"/>
    <s v="Low"/>
    <x v="1"/>
  </r>
  <r>
    <x v="10"/>
    <n v="4.5"/>
    <n v="666"/>
    <n v="7.4"/>
    <s v="Thermal"/>
    <n v="29"/>
    <x v="43"/>
    <n v="2"/>
    <n v="36.5"/>
    <s v="High"/>
    <n v="1.4"/>
    <n v="16.7"/>
    <s v="Medium"/>
    <x v="10"/>
  </r>
  <r>
    <x v="2"/>
    <n v="24"/>
    <n v="2839"/>
    <n v="6.7"/>
    <s v="Thermal"/>
    <n v="38"/>
    <x v="3"/>
    <n v="9"/>
    <n v="25"/>
    <s v="High"/>
    <n v="6.7"/>
    <n v="80.400000000000006"/>
    <s v="High"/>
    <x v="2"/>
  </r>
  <r>
    <x v="11"/>
    <n v="4.3"/>
    <n v="740"/>
    <n v="5.0999999999999996"/>
    <s v="Thermal"/>
    <n v="27"/>
    <x v="1"/>
    <n v="5"/>
    <n v="37.5"/>
    <s v="Medium"/>
    <n v="0.9"/>
    <n v="11"/>
    <s v="Low"/>
    <x v="11"/>
  </r>
  <r>
    <x v="4"/>
    <n v="18.5"/>
    <n v="2064"/>
    <n v="9.8000000000000007"/>
    <s v="Thermal"/>
    <n v="45"/>
    <x v="46"/>
    <n v="8"/>
    <n v="13"/>
    <s v="High"/>
    <n v="7.6"/>
    <n v="90.7"/>
    <s v="High"/>
    <x v="4"/>
  </r>
  <r>
    <x v="6"/>
    <n v="9.5"/>
    <n v="1865"/>
    <n v="6.7"/>
    <s v="Hydel"/>
    <n v="38"/>
    <x v="11"/>
    <n v="5"/>
    <n v="19.5"/>
    <s v="High"/>
    <n v="2.7"/>
    <n v="31.8"/>
    <s v="Medium"/>
    <x v="6"/>
  </r>
  <r>
    <x v="0"/>
    <n v="24.3"/>
    <n v="4672"/>
    <n v="7.4"/>
    <s v="Solar"/>
    <n v="29"/>
    <x v="47"/>
    <n v="6"/>
    <n v="43"/>
    <s v="High"/>
    <n v="7.5"/>
    <n v="89.9"/>
    <s v="Low"/>
    <x v="0"/>
  </r>
  <r>
    <x v="10"/>
    <n v="24.7"/>
    <n v="4097"/>
    <n v="5.7"/>
    <s v="Thermal"/>
    <n v="31"/>
    <x v="51"/>
    <n v="6"/>
    <n v="33"/>
    <s v="Medium"/>
    <n v="5.9"/>
    <n v="70.400000000000006"/>
    <s v="Medium"/>
    <x v="10"/>
  </r>
  <r>
    <x v="4"/>
    <n v="13.2"/>
    <n v="3188"/>
    <n v="6.3"/>
    <s v="Thermal"/>
    <n v="42"/>
    <x v="54"/>
    <n v="6"/>
    <n v="24.5"/>
    <s v="High"/>
    <n v="3.5"/>
    <n v="41.6"/>
    <s v="High"/>
    <x v="4"/>
  </r>
  <r>
    <x v="7"/>
    <n v="19.5"/>
    <n v="2760"/>
    <n v="7.3"/>
    <s v="Solar"/>
    <n v="42"/>
    <x v="30"/>
    <n v="6"/>
    <n v="23"/>
    <s v="High"/>
    <n v="5.9"/>
    <n v="71.2"/>
    <s v="High"/>
    <x v="7"/>
  </r>
  <r>
    <x v="11"/>
    <n v="19.8"/>
    <n v="2075"/>
    <n v="8.1"/>
    <s v="Solar"/>
    <n v="34"/>
    <x v="43"/>
    <n v="9"/>
    <n v="23.5"/>
    <s v="High"/>
    <n v="6.7"/>
    <n v="80.2"/>
    <s v="Medium"/>
    <x v="11"/>
  </r>
  <r>
    <x v="3"/>
    <n v="3.1"/>
    <n v="609"/>
    <n v="5.2"/>
    <s v="Thermal"/>
    <n v="28"/>
    <x v="7"/>
    <n v="2"/>
    <n v="37"/>
    <s v="Medium"/>
    <n v="0.7"/>
    <n v="8.1"/>
    <s v="Medium"/>
    <x v="3"/>
  </r>
  <r>
    <x v="3"/>
    <n v="3.8"/>
    <n v="428"/>
    <n v="4.7"/>
    <s v="Wind"/>
    <n v="31"/>
    <x v="21"/>
    <n v="5"/>
    <n v="25"/>
    <s v="Medium"/>
    <n v="0.7"/>
    <n v="8.9"/>
    <s v="Medium"/>
    <x v="3"/>
  </r>
  <r>
    <x v="13"/>
    <n v="21.5"/>
    <n v="2654"/>
    <n v="6.2"/>
    <s v="Thermal"/>
    <n v="28"/>
    <x v="50"/>
    <n v="8"/>
    <n v="31.5"/>
    <s v="High"/>
    <n v="5.6"/>
    <n v="66.7"/>
    <s v="Low"/>
    <x v="13"/>
  </r>
  <r>
    <x v="11"/>
    <n v="19.3"/>
    <n v="4816"/>
    <n v="9"/>
    <s v="Thermal"/>
    <n v="33"/>
    <x v="22"/>
    <n v="6"/>
    <n v="40"/>
    <s v="High"/>
    <n v="7.2"/>
    <n v="86.9"/>
    <s v="Medium"/>
    <x v="11"/>
  </r>
  <r>
    <x v="6"/>
    <n v="9.9"/>
    <n v="1138"/>
    <n v="6.6"/>
    <s v="Hydel"/>
    <n v="37"/>
    <x v="15"/>
    <n v="5"/>
    <n v="21"/>
    <s v="High"/>
    <n v="2.7"/>
    <n v="32.700000000000003"/>
    <s v="Medium"/>
    <x v="6"/>
  </r>
  <r>
    <x v="6"/>
    <n v="13.9"/>
    <n v="3621"/>
    <n v="9.1"/>
    <s v="Wind"/>
    <n v="34"/>
    <x v="27"/>
    <n v="6"/>
    <n v="29.5"/>
    <s v="High"/>
    <n v="5.3"/>
    <n v="63.2"/>
    <s v="Medium"/>
    <x v="6"/>
  </r>
  <r>
    <x v="5"/>
    <n v="5.9"/>
    <n v="925"/>
    <n v="3.8"/>
    <s v="Hydel"/>
    <n v="25"/>
    <x v="25"/>
    <n v="5"/>
    <n v="37"/>
    <s v="Low"/>
    <n v="0.9"/>
    <n v="11.2"/>
    <s v="Low"/>
    <x v="5"/>
  </r>
  <r>
    <x v="0"/>
    <n v="14.6"/>
    <n v="2932"/>
    <n v="9.6999999999999993"/>
    <s v="Thermal"/>
    <n v="38"/>
    <x v="13"/>
    <n v="9"/>
    <n v="19.5"/>
    <s v="High"/>
    <n v="5.9"/>
    <n v="70.8"/>
    <s v="High"/>
    <x v="0"/>
  </r>
  <r>
    <x v="12"/>
    <n v="16.600000000000001"/>
    <n v="4651"/>
    <n v="8"/>
    <s v="Solar"/>
    <n v="40"/>
    <x v="3"/>
    <n v="6"/>
    <n v="31"/>
    <s v="High"/>
    <n v="5.5"/>
    <n v="66.400000000000006"/>
    <s v="High"/>
    <x v="12"/>
  </r>
  <r>
    <x v="2"/>
    <n v="23.6"/>
    <n v="2372"/>
    <n v="10.3"/>
    <s v="Thermal"/>
    <n v="42"/>
    <x v="49"/>
    <n v="6"/>
    <n v="19.5"/>
    <s v="Critical"/>
    <n v="10.1"/>
    <n v="121.5"/>
    <s v="High"/>
    <x v="2"/>
  </r>
  <r>
    <x v="12"/>
    <n v="20"/>
    <n v="4036"/>
    <n v="6.7"/>
    <s v="Thermal"/>
    <n v="38"/>
    <x v="53"/>
    <n v="7"/>
    <n v="14.5"/>
    <s v="High"/>
    <n v="5.6"/>
    <n v="67"/>
    <s v="High"/>
    <x v="12"/>
  </r>
  <r>
    <x v="8"/>
    <n v="1.7"/>
    <n v="662"/>
    <n v="7.8"/>
    <s v="Hydel"/>
    <n v="32"/>
    <x v="13"/>
    <n v="3"/>
    <n v="37.5"/>
    <s v="High"/>
    <n v="0.6"/>
    <n v="6.6"/>
    <s v="Medium"/>
    <x v="8"/>
  </r>
  <r>
    <x v="2"/>
    <n v="21.7"/>
    <n v="3692"/>
    <n v="6.1"/>
    <s v="Thermal"/>
    <n v="34"/>
    <x v="5"/>
    <n v="6"/>
    <n v="38"/>
    <s v="High"/>
    <n v="5.5"/>
    <n v="66.2"/>
    <s v="Medium"/>
    <x v="2"/>
  </r>
  <r>
    <x v="4"/>
    <n v="3.5"/>
    <n v="563"/>
    <n v="6"/>
    <s v="Thermal"/>
    <n v="40"/>
    <x v="39"/>
    <n v="2"/>
    <n v="41"/>
    <s v="Medium"/>
    <n v="0.9"/>
    <n v="10.5"/>
    <s v="Medium"/>
    <x v="4"/>
  </r>
  <r>
    <x v="14"/>
    <n v="24.1"/>
    <n v="4472"/>
    <n v="4.5"/>
    <s v="Thermal"/>
    <n v="30"/>
    <x v="14"/>
    <n v="9"/>
    <n v="23.5"/>
    <s v="Medium"/>
    <n v="4.5"/>
    <n v="54.2"/>
    <s v="Medium"/>
    <x v="14"/>
  </r>
  <r>
    <x v="1"/>
    <n v="3.5"/>
    <n v="115"/>
    <n v="7"/>
    <s v="Wind"/>
    <n v="40"/>
    <x v="38"/>
    <n v="3"/>
    <n v="27"/>
    <s v="High"/>
    <n v="1"/>
    <n v="12.3"/>
    <s v="Medium"/>
    <x v="1"/>
  </r>
  <r>
    <x v="2"/>
    <n v="9.5"/>
    <n v="918"/>
    <n v="5.7"/>
    <s v="Wind"/>
    <n v="31"/>
    <x v="10"/>
    <n v="5"/>
    <n v="21.5"/>
    <s v="Medium"/>
    <n v="2.2999999999999998"/>
    <n v="27.1"/>
    <s v="Medium"/>
    <x v="2"/>
  </r>
  <r>
    <x v="11"/>
    <n v="12.7"/>
    <n v="3040"/>
    <n v="7.3"/>
    <s v="Thermal"/>
    <n v="42"/>
    <x v="9"/>
    <n v="6"/>
    <n v="28"/>
    <s v="High"/>
    <n v="3.9"/>
    <n v="46.4"/>
    <s v="High"/>
    <x v="11"/>
  </r>
  <r>
    <x v="8"/>
    <n v="1.2"/>
    <n v="741"/>
    <n v="5.2"/>
    <s v="Solar"/>
    <n v="28"/>
    <x v="52"/>
    <n v="3"/>
    <n v="43.5"/>
    <s v="Medium"/>
    <n v="0.3"/>
    <n v="3.1"/>
    <s v="Medium"/>
    <x v="8"/>
  </r>
  <r>
    <x v="1"/>
    <n v="15.9"/>
    <n v="3466"/>
    <n v="5.4"/>
    <s v="Wind"/>
    <n v="29"/>
    <x v="29"/>
    <n v="9"/>
    <n v="33"/>
    <s v="Medium"/>
    <n v="3.6"/>
    <n v="42.9"/>
    <s v="Low"/>
    <x v="1"/>
  </r>
  <r>
    <x v="1"/>
    <n v="9.1999999999999993"/>
    <n v="1925"/>
    <n v="5.2"/>
    <s v="Solar"/>
    <n v="28"/>
    <x v="45"/>
    <n v="6"/>
    <n v="26.5"/>
    <s v="Medium"/>
    <n v="2"/>
    <n v="23.9"/>
    <s v="Medium"/>
    <x v="1"/>
  </r>
  <r>
    <x v="12"/>
    <n v="19.8"/>
    <n v="4686"/>
    <n v="7.8"/>
    <s v="Thermal"/>
    <n v="25"/>
    <x v="41"/>
    <n v="7"/>
    <n v="43.5"/>
    <s v="High"/>
    <n v="6.4"/>
    <n v="77.2"/>
    <s v="Low"/>
    <x v="12"/>
  </r>
  <r>
    <x v="11"/>
    <n v="15.5"/>
    <n v="2575"/>
    <n v="8.4"/>
    <s v="Hydel"/>
    <n v="29"/>
    <x v="22"/>
    <n v="9"/>
    <n v="27"/>
    <s v="High"/>
    <n v="5.4"/>
    <n v="65.099999999999994"/>
    <s v="Medium"/>
    <x v="11"/>
  </r>
  <r>
    <x v="7"/>
    <n v="23.4"/>
    <n v="4540"/>
    <n v="6.4"/>
    <s v="Hydel"/>
    <n v="29"/>
    <x v="0"/>
    <n v="7"/>
    <n v="30"/>
    <s v="High"/>
    <n v="6.2"/>
    <n v="74.900000000000006"/>
    <s v="Medium"/>
    <x v="7"/>
  </r>
  <r>
    <x v="11"/>
    <n v="6.8"/>
    <n v="1827"/>
    <n v="9.6"/>
    <s v="Solar"/>
    <n v="37"/>
    <x v="10"/>
    <n v="6"/>
    <n v="18.5"/>
    <s v="High"/>
    <n v="2.7"/>
    <n v="32.6"/>
    <s v="High"/>
    <x v="11"/>
  </r>
  <r>
    <x v="4"/>
    <n v="3.5"/>
    <n v="226"/>
    <n v="6.2"/>
    <s v="Hydel"/>
    <n v="28"/>
    <x v="42"/>
    <n v="3"/>
    <n v="37.5"/>
    <s v="High"/>
    <n v="0.9"/>
    <n v="10.9"/>
    <s v="Medium"/>
    <x v="4"/>
  </r>
  <r>
    <x v="9"/>
    <n v="4"/>
    <n v="718"/>
    <n v="8.1"/>
    <s v="Hydel"/>
    <n v="34"/>
    <x v="34"/>
    <n v="4"/>
    <n v="37"/>
    <s v="High"/>
    <n v="1.4"/>
    <n v="16.2"/>
    <s v="Medium"/>
    <x v="9"/>
  </r>
  <r>
    <x v="0"/>
    <n v="22.1"/>
    <n v="2036"/>
    <n v="7.5"/>
    <s v="Hydel"/>
    <n v="30"/>
    <x v="23"/>
    <n v="9"/>
    <n v="41.5"/>
    <s v="High"/>
    <n v="6.9"/>
    <n v="82.9"/>
    <s v="Low"/>
    <x v="0"/>
  </r>
  <r>
    <x v="12"/>
    <n v="14.6"/>
    <n v="3208"/>
    <n v="7.3"/>
    <s v="Thermal"/>
    <n v="35"/>
    <x v="52"/>
    <n v="8"/>
    <n v="28.5"/>
    <s v="High"/>
    <n v="4.4000000000000004"/>
    <n v="53.3"/>
    <s v="Medium"/>
    <x v="12"/>
  </r>
  <r>
    <x v="12"/>
    <n v="11.5"/>
    <n v="2486"/>
    <n v="8.8000000000000007"/>
    <s v="Thermal"/>
    <n v="32"/>
    <x v="33"/>
    <n v="9"/>
    <n v="23"/>
    <s v="High"/>
    <n v="4.2"/>
    <n v="50.6"/>
    <s v="Medium"/>
    <x v="12"/>
  </r>
  <r>
    <x v="9"/>
    <n v="18.5"/>
    <n v="4078"/>
    <n v="5.7"/>
    <s v="Hydel"/>
    <n v="31"/>
    <x v="14"/>
    <n v="6"/>
    <n v="29.5"/>
    <s v="Medium"/>
    <n v="4.4000000000000004"/>
    <n v="52.7"/>
    <s v="Medium"/>
    <x v="9"/>
  </r>
  <r>
    <x v="2"/>
    <n v="6.4"/>
    <n v="1722"/>
    <n v="5"/>
    <s v="Hydel"/>
    <n v="33"/>
    <x v="36"/>
    <n v="4"/>
    <n v="36.5"/>
    <s v="Medium"/>
    <n v="1.3"/>
    <n v="16"/>
    <s v="Medium"/>
    <x v="2"/>
  </r>
  <r>
    <x v="4"/>
    <n v="7.1"/>
    <n v="1633"/>
    <n v="7.5"/>
    <s v="Solar"/>
    <n v="30"/>
    <x v="56"/>
    <n v="4"/>
    <n v="39"/>
    <s v="High"/>
    <n v="2.2000000000000002"/>
    <n v="26.6"/>
    <s v="Medium"/>
    <x v="4"/>
  </r>
  <r>
    <x v="5"/>
    <n v="10.8"/>
    <n v="3965"/>
    <n v="5.8"/>
    <s v="Solar"/>
    <n v="25"/>
    <x v="45"/>
    <n v="9"/>
    <n v="23.5"/>
    <s v="Medium"/>
    <n v="2.6"/>
    <n v="31.3"/>
    <s v="Medium"/>
    <x v="5"/>
  </r>
  <r>
    <x v="10"/>
    <n v="25"/>
    <n v="2518"/>
    <n v="7.5"/>
    <s v="Thermal"/>
    <n v="30"/>
    <x v="23"/>
    <n v="9"/>
    <n v="39.5"/>
    <s v="High"/>
    <n v="7.8"/>
    <n v="93.8"/>
    <s v="Low"/>
    <x v="10"/>
  </r>
  <r>
    <x v="1"/>
    <n v="13.4"/>
    <n v="2313"/>
    <n v="4.2"/>
    <s v="Thermal"/>
    <n v="28"/>
    <x v="48"/>
    <n v="8"/>
    <n v="38"/>
    <s v="Medium"/>
    <n v="2.2999999999999998"/>
    <n v="28.1"/>
    <s v="Low"/>
    <x v="1"/>
  </r>
  <r>
    <x v="14"/>
    <n v="18"/>
    <n v="3775"/>
    <n v="8"/>
    <s v="Thermal"/>
    <n v="33"/>
    <x v="10"/>
    <n v="6"/>
    <n v="21.5"/>
    <s v="High"/>
    <n v="6"/>
    <n v="72"/>
    <s v="High"/>
    <x v="14"/>
  </r>
  <r>
    <x v="13"/>
    <n v="4.5999999999999996"/>
    <n v="197"/>
    <n v="7.5"/>
    <s v="Hydel"/>
    <n v="30"/>
    <x v="24"/>
    <n v="3"/>
    <n v="43"/>
    <s v="High"/>
    <n v="1.4"/>
    <n v="17.3"/>
    <s v="Low"/>
    <x v="13"/>
  </r>
  <r>
    <x v="9"/>
    <n v="3.3"/>
    <n v="617"/>
    <n v="8"/>
    <s v="Wind"/>
    <n v="40"/>
    <x v="53"/>
    <n v="4"/>
    <n v="14.5"/>
    <s v="High"/>
    <n v="1.1000000000000001"/>
    <n v="13.2"/>
    <s v="Medium"/>
    <x v="9"/>
  </r>
  <r>
    <x v="7"/>
    <n v="3.3"/>
    <n v="550"/>
    <n v="7.7"/>
    <s v="Thermal"/>
    <n v="31"/>
    <x v="42"/>
    <n v="4"/>
    <n v="37.5"/>
    <s v="High"/>
    <n v="1.1000000000000001"/>
    <n v="12.7"/>
    <s v="Medium"/>
    <x v="7"/>
  </r>
  <r>
    <x v="6"/>
    <n v="20.3"/>
    <n v="3918"/>
    <n v="5.8"/>
    <s v="Thermal"/>
    <n v="25"/>
    <x v="25"/>
    <n v="6"/>
    <n v="41"/>
    <s v="Medium"/>
    <n v="4.9000000000000004"/>
    <n v="58.9"/>
    <s v="Low"/>
    <x v="6"/>
  </r>
  <r>
    <x v="11"/>
    <n v="8.5"/>
    <n v="1857"/>
    <n v="9.6999999999999993"/>
    <s v="Thermal"/>
    <n v="38"/>
    <x v="6"/>
    <n v="5"/>
    <n v="22"/>
    <s v="High"/>
    <n v="3.4"/>
    <n v="41.2"/>
    <s v="Medium"/>
    <x v="11"/>
  </r>
  <r>
    <x v="12"/>
    <n v="24.7"/>
    <n v="2852"/>
    <n v="10"/>
    <s v="Hydel"/>
    <n v="40"/>
    <x v="63"/>
    <n v="9"/>
    <n v="13.5"/>
    <s v="High"/>
    <n v="10.3"/>
    <n v="123.5"/>
    <s v="High"/>
    <x v="12"/>
  </r>
  <r>
    <x v="10"/>
    <n v="22.1"/>
    <n v="2403"/>
    <n v="8.5"/>
    <s v="Solar"/>
    <n v="30"/>
    <x v="60"/>
    <n v="6"/>
    <n v="46.5"/>
    <s v="High"/>
    <n v="7.8"/>
    <n v="93.9"/>
    <s v="Low"/>
    <x v="10"/>
  </r>
  <r>
    <x v="4"/>
    <n v="13.8"/>
    <n v="4795"/>
    <n v="7.3"/>
    <s v="Wind"/>
    <n v="42"/>
    <x v="58"/>
    <n v="7"/>
    <n v="13"/>
    <s v="High"/>
    <n v="4.2"/>
    <n v="50.4"/>
    <s v="High"/>
    <x v="4"/>
  </r>
  <r>
    <x v="4"/>
    <n v="16"/>
    <n v="2110"/>
    <n v="4.0999999999999996"/>
    <s v="Thermal"/>
    <n v="27"/>
    <x v="0"/>
    <n v="8"/>
    <n v="34"/>
    <s v="Medium"/>
    <n v="2.7"/>
    <n v="32.799999999999997"/>
    <s v="Medium"/>
    <x v="4"/>
  </r>
  <r>
    <x v="5"/>
    <n v="12"/>
    <n v="3526"/>
    <n v="8.5"/>
    <s v="Hydel"/>
    <n v="30"/>
    <x v="59"/>
    <n v="8"/>
    <n v="41"/>
    <s v="High"/>
    <n v="4.3"/>
    <n v="51"/>
    <s v="Low"/>
    <x v="5"/>
  </r>
  <r>
    <x v="1"/>
    <n v="13.6"/>
    <n v="4087"/>
    <n v="6.8"/>
    <s v="Wind"/>
    <n v="45"/>
    <x v="30"/>
    <n v="6"/>
    <n v="30"/>
    <s v="High"/>
    <n v="3.9"/>
    <n v="46.2"/>
    <s v="High"/>
    <x v="1"/>
  </r>
  <r>
    <x v="14"/>
    <n v="23.2"/>
    <n v="2041"/>
    <n v="4.8"/>
    <s v="Wind"/>
    <n v="32"/>
    <x v="27"/>
    <n v="8"/>
    <n v="19.5"/>
    <s v="Medium"/>
    <n v="4.5999999999999996"/>
    <n v="55.7"/>
    <s v="Medium"/>
    <x v="14"/>
  </r>
  <r>
    <x v="5"/>
    <n v="3.1"/>
    <n v="657"/>
    <n v="8.6"/>
    <s v="Wind"/>
    <n v="37"/>
    <x v="35"/>
    <n v="2"/>
    <n v="26.5"/>
    <s v="High"/>
    <n v="1.1000000000000001"/>
    <n v="13.3"/>
    <s v="Medium"/>
    <x v="5"/>
  </r>
  <r>
    <x v="0"/>
    <n v="16.100000000000001"/>
    <n v="4287"/>
    <n v="5.2"/>
    <s v="Hydel"/>
    <n v="28"/>
    <x v="56"/>
    <n v="9"/>
    <n v="28"/>
    <s v="Medium"/>
    <n v="3.5"/>
    <n v="41.9"/>
    <s v="Medium"/>
    <x v="0"/>
  </r>
  <r>
    <x v="3"/>
    <n v="5.8"/>
    <n v="1032"/>
    <n v="6.3"/>
    <s v="Hydel"/>
    <n v="35"/>
    <x v="45"/>
    <n v="7"/>
    <n v="29.5"/>
    <s v="High"/>
    <n v="1.5"/>
    <n v="18.3"/>
    <s v="Medium"/>
    <x v="3"/>
  </r>
  <r>
    <x v="1"/>
    <n v="12.6"/>
    <n v="4343"/>
    <n v="9.3000000000000007"/>
    <s v="Solar"/>
    <n v="42"/>
    <x v="30"/>
    <n v="9"/>
    <n v="17"/>
    <s v="High"/>
    <n v="4.9000000000000004"/>
    <n v="58.6"/>
    <s v="High"/>
    <x v="1"/>
  </r>
  <r>
    <x v="7"/>
    <n v="2.2000000000000002"/>
    <n v="787"/>
    <n v="5.6"/>
    <s v="Solar"/>
    <n v="37"/>
    <x v="58"/>
    <n v="4"/>
    <n v="15"/>
    <s v="Medium"/>
    <n v="0.5"/>
    <n v="6.2"/>
    <s v="Medium"/>
    <x v="7"/>
  </r>
  <r>
    <x v="7"/>
    <n v="1.9"/>
    <n v="137"/>
    <n v="7"/>
    <s v="Thermal"/>
    <n v="40"/>
    <x v="63"/>
    <n v="2"/>
    <n v="27.5"/>
    <s v="High"/>
    <n v="0.6"/>
    <n v="6.7"/>
    <s v="Medium"/>
    <x v="7"/>
  </r>
  <r>
    <x v="6"/>
    <n v="6.3"/>
    <n v="1127"/>
    <n v="4.0999999999999996"/>
    <s v="Thermal"/>
    <n v="27"/>
    <x v="0"/>
    <n v="7"/>
    <n v="38"/>
    <s v="Medium"/>
    <n v="1.1000000000000001"/>
    <n v="12.9"/>
    <s v="Medium"/>
    <x v="6"/>
  </r>
  <r>
    <x v="9"/>
    <n v="22.5"/>
    <n v="2385"/>
    <n v="6.8"/>
    <s v="Thermal"/>
    <n v="25"/>
    <x v="32"/>
    <n v="8"/>
    <n v="32.5"/>
    <s v="High"/>
    <n v="6.4"/>
    <n v="76.5"/>
    <s v="Medium"/>
    <x v="9"/>
  </r>
  <r>
    <x v="4"/>
    <n v="9.6"/>
    <n v="1915"/>
    <n v="9.1"/>
    <s v="Solar"/>
    <n v="34"/>
    <x v="22"/>
    <n v="5"/>
    <n v="43"/>
    <s v="High"/>
    <n v="3.6"/>
    <n v="43.7"/>
    <s v="Medium"/>
    <x v="4"/>
  </r>
  <r>
    <x v="10"/>
    <n v="10.5"/>
    <n v="4041"/>
    <n v="8.1"/>
    <s v="Thermal"/>
    <n v="34"/>
    <x v="54"/>
    <n v="7"/>
    <n v="21.5"/>
    <s v="High"/>
    <n v="3.5"/>
    <n v="42.5"/>
    <s v="High"/>
    <x v="10"/>
  </r>
  <r>
    <x v="1"/>
    <n v="4.4000000000000004"/>
    <n v="409"/>
    <n v="8.1"/>
    <s v="Solar"/>
    <n v="34"/>
    <x v="56"/>
    <n v="5"/>
    <n v="40"/>
    <s v="High"/>
    <n v="1.5"/>
    <n v="17.8"/>
    <s v="Medium"/>
    <x v="1"/>
  </r>
  <r>
    <x v="2"/>
    <n v="3.3"/>
    <n v="383"/>
    <n v="4.5"/>
    <s v="Thermal"/>
    <n v="30"/>
    <x v="41"/>
    <n v="4"/>
    <n v="39.5"/>
    <s v="Medium"/>
    <n v="0.6"/>
    <n v="7.4"/>
    <s v="Low"/>
    <x v="2"/>
  </r>
  <r>
    <x v="7"/>
    <n v="22.3"/>
    <n v="4710"/>
    <n v="7.7"/>
    <s v="Thermal"/>
    <n v="38"/>
    <x v="53"/>
    <n v="9"/>
    <n v="6.5"/>
    <s v="High"/>
    <n v="7.2"/>
    <n v="85.9"/>
    <s v="High"/>
    <x v="7"/>
  </r>
  <r>
    <x v="7"/>
    <n v="8.8000000000000007"/>
    <n v="1531"/>
    <n v="5.7"/>
    <s v="Thermal"/>
    <n v="31"/>
    <x v="3"/>
    <n v="5"/>
    <n v="30"/>
    <s v="Medium"/>
    <n v="2.1"/>
    <n v="25.1"/>
    <s v="Medium"/>
    <x v="7"/>
  </r>
  <r>
    <x v="9"/>
    <n v="4.4000000000000004"/>
    <n v="202"/>
    <n v="7"/>
    <s v="Thermal"/>
    <n v="40"/>
    <x v="9"/>
    <n v="5"/>
    <n v="30"/>
    <s v="High"/>
    <n v="1.3"/>
    <n v="15.4"/>
    <s v="Medium"/>
    <x v="9"/>
  </r>
  <r>
    <x v="9"/>
    <n v="16.2"/>
    <n v="2916"/>
    <n v="8"/>
    <s v="Wind"/>
    <n v="40"/>
    <x v="9"/>
    <n v="8"/>
    <n v="20"/>
    <s v="High"/>
    <n v="5.4"/>
    <n v="64.8"/>
    <s v="High"/>
    <x v="9"/>
  </r>
  <r>
    <x v="0"/>
    <n v="23.9"/>
    <n v="4250"/>
    <n v="7.3"/>
    <s v="Thermal"/>
    <n v="42"/>
    <x v="37"/>
    <n v="6"/>
    <n v="26"/>
    <s v="High"/>
    <n v="7.3"/>
    <n v="87.2"/>
    <s v="High"/>
    <x v="0"/>
  </r>
  <r>
    <x v="10"/>
    <n v="15.7"/>
    <n v="4706"/>
    <n v="7.2"/>
    <s v="Hydel"/>
    <n v="28"/>
    <x v="43"/>
    <n v="8"/>
    <n v="32.5"/>
    <s v="High"/>
    <n v="4.7"/>
    <n v="56.5"/>
    <s v="Medium"/>
    <x v="10"/>
  </r>
  <r>
    <x v="8"/>
    <n v="13.6"/>
    <n v="2226"/>
    <n v="7.7"/>
    <s v="Solar"/>
    <n v="38"/>
    <x v="13"/>
    <n v="7"/>
    <n v="24.5"/>
    <s v="High"/>
    <n v="4.4000000000000004"/>
    <n v="52.4"/>
    <s v="High"/>
    <x v="8"/>
  </r>
  <r>
    <x v="0"/>
    <n v="11.8"/>
    <n v="3672"/>
    <n v="10.3"/>
    <s v="Thermal"/>
    <n v="42"/>
    <x v="39"/>
    <n v="6"/>
    <n v="32"/>
    <s v="Critical"/>
    <n v="5.0999999999999996"/>
    <n v="60.8"/>
    <s v="Medium"/>
    <x v="0"/>
  </r>
  <r>
    <x v="13"/>
    <n v="22.9"/>
    <n v="4757"/>
    <n v="5.6"/>
    <s v="Hydel"/>
    <n v="37"/>
    <x v="30"/>
    <n v="6"/>
    <n v="24"/>
    <s v="Medium"/>
    <n v="5.3"/>
    <n v="64.099999999999994"/>
    <s v="High"/>
    <x v="13"/>
  </r>
  <r>
    <x v="10"/>
    <n v="18.899999999999999"/>
    <n v="4765"/>
    <n v="8.4"/>
    <s v="Thermal"/>
    <n v="29"/>
    <x v="22"/>
    <n v="7"/>
    <n v="33"/>
    <s v="High"/>
    <n v="6.6"/>
    <n v="79.400000000000006"/>
    <s v="Medium"/>
    <x v="10"/>
  </r>
  <r>
    <x v="6"/>
    <n v="4.5"/>
    <n v="669"/>
    <n v="6.4"/>
    <s v="Thermal"/>
    <n v="29"/>
    <x v="61"/>
    <n v="3"/>
    <n v="46"/>
    <s v="High"/>
    <n v="1.2"/>
    <n v="14.4"/>
    <s v="Low"/>
    <x v="6"/>
  </r>
  <r>
    <x v="5"/>
    <n v="14.6"/>
    <n v="4874"/>
    <n v="6"/>
    <s v="Solar"/>
    <n v="33"/>
    <x v="51"/>
    <n v="8"/>
    <n v="31"/>
    <s v="Medium"/>
    <n v="3.7"/>
    <n v="43.8"/>
    <s v="Medium"/>
    <x v="5"/>
  </r>
  <r>
    <x v="0"/>
    <n v="18.3"/>
    <n v="3548"/>
    <n v="8.1"/>
    <s v="Thermal"/>
    <n v="34"/>
    <x v="51"/>
    <n v="8"/>
    <n v="26"/>
    <s v="High"/>
    <n v="6.2"/>
    <n v="74.099999999999994"/>
    <s v="Medium"/>
    <x v="0"/>
  </r>
  <r>
    <x v="1"/>
    <n v="18.2"/>
    <n v="3146"/>
    <n v="9.6"/>
    <s v="Hydel"/>
    <n v="37"/>
    <x v="17"/>
    <n v="8"/>
    <n v="15.5"/>
    <s v="High"/>
    <n v="7.3"/>
    <n v="87.4"/>
    <s v="High"/>
    <x v="1"/>
  </r>
  <r>
    <x v="8"/>
    <n v="8.6"/>
    <n v="1562"/>
    <n v="5.3"/>
    <s v="Thermal"/>
    <n v="35"/>
    <x v="18"/>
    <n v="6"/>
    <n v="24.5"/>
    <s v="Medium"/>
    <n v="1.9"/>
    <n v="22.8"/>
    <s v="High"/>
    <x v="8"/>
  </r>
  <r>
    <x v="7"/>
    <n v="1.2"/>
    <n v="572"/>
    <n v="5.7"/>
    <s v="Thermal"/>
    <n v="31"/>
    <x v="36"/>
    <n v="5"/>
    <n v="35.5"/>
    <s v="Medium"/>
    <n v="0.3"/>
    <n v="3.4"/>
    <s v="Medium"/>
    <x v="7"/>
  </r>
  <r>
    <x v="2"/>
    <n v="17.8"/>
    <n v="2728"/>
    <n v="5.8"/>
    <s v="Wind"/>
    <n v="25"/>
    <x v="47"/>
    <n v="8"/>
    <n v="43"/>
    <s v="Medium"/>
    <n v="4.3"/>
    <n v="51.6"/>
    <s v="Low"/>
    <x v="2"/>
  </r>
  <r>
    <x v="14"/>
    <n v="10.199999999999999"/>
    <n v="4452"/>
    <n v="7.8"/>
    <s v="Wind"/>
    <n v="45"/>
    <x v="53"/>
    <n v="7"/>
    <n v="18.5"/>
    <s v="High"/>
    <n v="3.3"/>
    <n v="39.799999999999997"/>
    <s v="High"/>
    <x v="14"/>
  </r>
  <r>
    <x v="3"/>
    <n v="9.1999999999999993"/>
    <n v="843"/>
    <n v="8.3000000000000007"/>
    <s v="Hydel"/>
    <n v="42"/>
    <x v="13"/>
    <n v="7"/>
    <n v="30.5"/>
    <s v="High"/>
    <n v="3.2"/>
    <n v="38.200000000000003"/>
    <s v="High"/>
    <x v="3"/>
  </r>
  <r>
    <x v="1"/>
    <n v="16.7"/>
    <n v="2705"/>
    <n v="7.8"/>
    <s v="Thermal"/>
    <n v="32"/>
    <x v="25"/>
    <n v="7"/>
    <n v="35"/>
    <s v="High"/>
    <n v="5.4"/>
    <n v="65.099999999999994"/>
    <s v="Low"/>
    <x v="1"/>
  </r>
  <r>
    <x v="2"/>
    <n v="9.4"/>
    <n v="1664"/>
    <n v="8.6"/>
    <s v="Wind"/>
    <n v="37"/>
    <x v="21"/>
    <n v="7"/>
    <n v="26"/>
    <s v="High"/>
    <n v="3.4"/>
    <n v="40.4"/>
    <s v="High"/>
    <x v="2"/>
  </r>
  <r>
    <x v="2"/>
    <n v="6.4"/>
    <n v="1355"/>
    <n v="5"/>
    <s v="Thermal"/>
    <n v="33"/>
    <x v="9"/>
    <n v="5"/>
    <n v="21"/>
    <s v="Medium"/>
    <n v="1.3"/>
    <n v="16"/>
    <s v="Medium"/>
    <x v="2"/>
  </r>
  <r>
    <x v="8"/>
    <n v="24.8"/>
    <n v="2456"/>
    <n v="7.6"/>
    <s v="Solar"/>
    <n v="37"/>
    <x v="13"/>
    <n v="6"/>
    <n v="27.5"/>
    <s v="High"/>
    <n v="7.9"/>
    <n v="94.2"/>
    <s v="High"/>
    <x v="8"/>
  </r>
  <r>
    <x v="6"/>
    <n v="4.2"/>
    <n v="710"/>
    <n v="7.7"/>
    <s v="Hydel"/>
    <n v="38"/>
    <x v="37"/>
    <n v="4"/>
    <n v="29"/>
    <s v="High"/>
    <n v="1.3"/>
    <n v="16.2"/>
    <s v="Medium"/>
    <x v="6"/>
  </r>
  <r>
    <x v="5"/>
    <n v="16.899999999999999"/>
    <n v="3206"/>
    <n v="5.3"/>
    <s v="Solar"/>
    <n v="35"/>
    <x v="27"/>
    <n v="8"/>
    <n v="25.5"/>
    <s v="Medium"/>
    <n v="3.7"/>
    <n v="44.8"/>
    <s v="Medium"/>
    <x v="5"/>
  </r>
  <r>
    <x v="7"/>
    <n v="19.3"/>
    <n v="4156"/>
    <n v="10.3"/>
    <s v="Thermal"/>
    <n v="42"/>
    <x v="10"/>
    <n v="7"/>
    <n v="21.5"/>
    <s v="Critical"/>
    <n v="8.3000000000000007"/>
    <n v="99.4"/>
    <s v="High"/>
    <x v="7"/>
  </r>
  <r>
    <x v="2"/>
    <n v="2.1"/>
    <n v="488"/>
    <n v="5.8"/>
    <s v="Hydel"/>
    <n v="25"/>
    <x v="51"/>
    <n v="4"/>
    <n v="38"/>
    <s v="Medium"/>
    <n v="0.5"/>
    <n v="6.1"/>
    <s v="Medium"/>
    <x v="2"/>
  </r>
  <r>
    <x v="11"/>
    <n v="5.5"/>
    <n v="1487"/>
    <n v="7.6"/>
    <s v="Solar"/>
    <n v="37"/>
    <x v="58"/>
    <n v="7"/>
    <n v="18"/>
    <s v="High"/>
    <n v="1.7"/>
    <n v="20.9"/>
    <s v="High"/>
    <x v="11"/>
  </r>
  <r>
    <x v="11"/>
    <n v="23"/>
    <n v="3625"/>
    <n v="8.3000000000000007"/>
    <s v="Thermal"/>
    <n v="35"/>
    <x v="54"/>
    <n v="6"/>
    <n v="31.5"/>
    <s v="High"/>
    <n v="8"/>
    <n v="95.5"/>
    <s v="High"/>
    <x v="11"/>
  </r>
  <r>
    <x v="5"/>
    <n v="19.5"/>
    <n v="4573"/>
    <n v="6.6"/>
    <s v="Wind"/>
    <n v="37"/>
    <x v="10"/>
    <n v="6"/>
    <n v="22.5"/>
    <s v="High"/>
    <n v="5.4"/>
    <n v="64.400000000000006"/>
    <s v="High"/>
    <x v="5"/>
  </r>
  <r>
    <x v="14"/>
    <n v="20.3"/>
    <n v="2112"/>
    <n v="6.3"/>
    <s v="Thermal"/>
    <n v="42"/>
    <x v="13"/>
    <n v="9"/>
    <n v="25.5"/>
    <s v="High"/>
    <n v="5.3"/>
    <n v="63.9"/>
    <s v="High"/>
    <x v="14"/>
  </r>
  <r>
    <x v="8"/>
    <n v="14.8"/>
    <n v="3052"/>
    <n v="4.4000000000000004"/>
    <s v="Solar"/>
    <n v="29"/>
    <x v="56"/>
    <n v="6"/>
    <n v="39"/>
    <s v="Medium"/>
    <n v="2.7"/>
    <n v="32.6"/>
    <s v="Medium"/>
    <x v="8"/>
  </r>
  <r>
    <x v="6"/>
    <n v="17.2"/>
    <n v="2673"/>
    <n v="6.8"/>
    <s v="Hydel"/>
    <n v="25"/>
    <x v="22"/>
    <n v="6"/>
    <n v="35"/>
    <s v="High"/>
    <n v="4.9000000000000004"/>
    <n v="58.5"/>
    <s v="Medium"/>
    <x v="6"/>
  </r>
  <r>
    <x v="6"/>
    <n v="5.5"/>
    <n v="1402"/>
    <n v="9.1"/>
    <s v="Solar"/>
    <n v="34"/>
    <x v="9"/>
    <n v="4"/>
    <n v="30"/>
    <s v="High"/>
    <n v="2.1"/>
    <n v="25"/>
    <s v="Medium"/>
    <x v="6"/>
  </r>
  <r>
    <x v="6"/>
    <n v="12.4"/>
    <n v="3525"/>
    <n v="4.7"/>
    <s v="Wind"/>
    <n v="31"/>
    <x v="19"/>
    <n v="8"/>
    <n v="23"/>
    <s v="Medium"/>
    <n v="2.4"/>
    <n v="29.1"/>
    <s v="High"/>
    <x v="6"/>
  </r>
  <r>
    <x v="10"/>
    <n v="18.3"/>
    <n v="2557"/>
    <n v="7.1"/>
    <s v="Solar"/>
    <n v="27"/>
    <x v="40"/>
    <n v="8"/>
    <n v="35"/>
    <s v="High"/>
    <n v="5.4"/>
    <n v="65"/>
    <s v="Low"/>
    <x v="10"/>
  </r>
  <r>
    <x v="2"/>
    <n v="14.5"/>
    <n v="4125"/>
    <n v="8.3000000000000007"/>
    <s v="Thermal"/>
    <n v="35"/>
    <x v="30"/>
    <n v="7"/>
    <n v="25"/>
    <s v="High"/>
    <n v="5"/>
    <n v="60.2"/>
    <s v="High"/>
    <x v="2"/>
  </r>
  <r>
    <x v="13"/>
    <n v="16.100000000000001"/>
    <n v="3938"/>
    <n v="5.7"/>
    <s v="Thermal"/>
    <n v="38"/>
    <x v="10"/>
    <n v="7"/>
    <n v="24.5"/>
    <s v="Medium"/>
    <n v="3.8"/>
    <n v="45.9"/>
    <s v="High"/>
    <x v="13"/>
  </r>
  <r>
    <x v="2"/>
    <n v="20.3"/>
    <n v="2926"/>
    <n v="8.6999999999999993"/>
    <s v="Thermal"/>
    <n v="38"/>
    <x v="30"/>
    <n v="6"/>
    <n v="24"/>
    <s v="High"/>
    <n v="7.4"/>
    <n v="88.3"/>
    <s v="High"/>
    <x v="2"/>
  </r>
  <r>
    <x v="3"/>
    <n v="7.9"/>
    <n v="1380"/>
    <n v="6.1"/>
    <s v="Thermal"/>
    <n v="27"/>
    <x v="56"/>
    <n v="4"/>
    <n v="39"/>
    <s v="High"/>
    <n v="2"/>
    <n v="24.1"/>
    <s v="Medium"/>
    <x v="3"/>
  </r>
  <r>
    <x v="1"/>
    <n v="8.4"/>
    <n v="1660"/>
    <n v="5.7"/>
    <s v="Thermal"/>
    <n v="38"/>
    <x v="57"/>
    <n v="7"/>
    <n v="13.5"/>
    <s v="Medium"/>
    <n v="2"/>
    <n v="23.9"/>
    <s v="High"/>
    <x v="1"/>
  </r>
  <r>
    <x v="13"/>
    <n v="24.3"/>
    <n v="2421"/>
    <n v="7.8"/>
    <s v="Thermal"/>
    <n v="25"/>
    <x v="42"/>
    <n v="7"/>
    <n v="39.5"/>
    <s v="High"/>
    <n v="7.9"/>
    <n v="94.8"/>
    <s v="Medium"/>
    <x v="13"/>
  </r>
  <r>
    <x v="6"/>
    <n v="7.4"/>
    <n v="1839"/>
    <n v="5.3"/>
    <s v="Solar"/>
    <n v="35"/>
    <x v="64"/>
    <n v="7"/>
    <n v="28"/>
    <s v="Medium"/>
    <n v="1.6"/>
    <n v="19.600000000000001"/>
    <s v="Medium"/>
    <x v="6"/>
  </r>
  <r>
    <x v="12"/>
    <n v="1.2"/>
    <n v="732"/>
    <n v="3.8"/>
    <s v="Thermal"/>
    <n v="25"/>
    <x v="43"/>
    <n v="3"/>
    <n v="34.5"/>
    <s v="Low"/>
    <n v="0.2"/>
    <n v="2.2999999999999998"/>
    <s v="Medium"/>
    <x v="12"/>
  </r>
  <r>
    <x v="13"/>
    <n v="21.5"/>
    <n v="4070"/>
    <n v="5.5"/>
    <s v="Thermal"/>
    <n v="30"/>
    <x v="56"/>
    <n v="8"/>
    <n v="29"/>
    <s v="Medium"/>
    <n v="4.9000000000000004"/>
    <n v="59.1"/>
    <s v="Medium"/>
    <x v="13"/>
  </r>
  <r>
    <x v="8"/>
    <n v="23.3"/>
    <n v="4575"/>
    <n v="7.8"/>
    <s v="Solar"/>
    <n v="25"/>
    <x v="25"/>
    <n v="7"/>
    <n v="31"/>
    <s v="High"/>
    <n v="7.6"/>
    <n v="90.9"/>
    <s v="Low"/>
    <x v="8"/>
  </r>
  <r>
    <x v="11"/>
    <n v="22.5"/>
    <n v="3216"/>
    <n v="9"/>
    <s v="Wind"/>
    <n v="40"/>
    <x v="6"/>
    <n v="7"/>
    <n v="15"/>
    <s v="High"/>
    <n v="8.4"/>
    <n v="101.3"/>
    <s v="High"/>
    <x v="11"/>
  </r>
  <r>
    <x v="11"/>
    <n v="15"/>
    <n v="4110"/>
    <n v="7.1"/>
    <s v="Hydel"/>
    <n v="27"/>
    <x v="24"/>
    <n v="6"/>
    <n v="44"/>
    <s v="High"/>
    <n v="4.4000000000000004"/>
    <n v="53.3"/>
    <s v="Low"/>
    <x v="11"/>
  </r>
  <r>
    <x v="12"/>
    <n v="21.9"/>
    <n v="4625"/>
    <n v="4.8"/>
    <s v="Wind"/>
    <n v="32"/>
    <x v="34"/>
    <n v="8"/>
    <n v="30"/>
    <s v="Medium"/>
    <n v="4.4000000000000004"/>
    <n v="52.6"/>
    <s v="Medium"/>
    <x v="12"/>
  </r>
  <r>
    <x v="0"/>
    <n v="1.7"/>
    <n v="244"/>
    <n v="4.8"/>
    <s v="Thermal"/>
    <n v="32"/>
    <x v="32"/>
    <n v="4"/>
    <n v="38.5"/>
    <s v="Medium"/>
    <n v="0.3"/>
    <n v="4.0999999999999996"/>
    <s v="Medium"/>
    <x v="0"/>
  </r>
  <r>
    <x v="9"/>
    <n v="10.8"/>
    <n v="3705"/>
    <n v="9.6"/>
    <s v="Solar"/>
    <n v="37"/>
    <x v="54"/>
    <n v="6"/>
    <n v="23.5"/>
    <s v="High"/>
    <n v="4.3"/>
    <n v="51.8"/>
    <s v="High"/>
    <x v="9"/>
  </r>
  <r>
    <x v="9"/>
    <n v="12.4"/>
    <n v="4953"/>
    <n v="4.2"/>
    <s v="Hydel"/>
    <n v="28"/>
    <x v="43"/>
    <n v="9"/>
    <n v="22.5"/>
    <s v="Medium"/>
    <n v="2.2000000000000002"/>
    <n v="26"/>
    <s v="Medium"/>
    <x v="9"/>
  </r>
  <r>
    <x v="4"/>
    <n v="6.4"/>
    <n v="1696"/>
    <n v="5.0999999999999996"/>
    <s v="Thermal"/>
    <n v="34"/>
    <x v="30"/>
    <n v="4"/>
    <n v="28"/>
    <s v="Medium"/>
    <n v="1.4"/>
    <n v="16.3"/>
    <s v="Medium"/>
    <x v="4"/>
  </r>
  <r>
    <x v="6"/>
    <n v="8.9"/>
    <n v="1859"/>
    <n v="9.6999999999999993"/>
    <s v="Thermal"/>
    <n v="38"/>
    <x v="17"/>
    <n v="6"/>
    <n v="26.5"/>
    <s v="High"/>
    <n v="3.6"/>
    <n v="43.2"/>
    <s v="High"/>
    <x v="6"/>
  </r>
  <r>
    <x v="3"/>
    <n v="22.2"/>
    <n v="4676"/>
    <n v="5.0999999999999996"/>
    <s v="Hydel"/>
    <n v="34"/>
    <x v="25"/>
    <n v="6"/>
    <n v="40"/>
    <s v="Medium"/>
    <n v="4.7"/>
    <n v="56.6"/>
    <s v="Low"/>
    <x v="3"/>
  </r>
  <r>
    <x v="8"/>
    <n v="13.4"/>
    <n v="2997"/>
    <n v="6"/>
    <s v="Thermal"/>
    <n v="40"/>
    <x v="63"/>
    <n v="6"/>
    <n v="20.5"/>
    <s v="Medium"/>
    <n v="3.4"/>
    <n v="40.200000000000003"/>
    <s v="High"/>
    <x v="8"/>
  </r>
  <r>
    <x v="10"/>
    <n v="20.6"/>
    <n v="4823"/>
    <n v="7.8"/>
    <s v="Thermal"/>
    <n v="25"/>
    <x v="51"/>
    <n v="9"/>
    <n v="26"/>
    <s v="High"/>
    <n v="6.7"/>
    <n v="80.3"/>
    <s v="Medium"/>
    <x v="10"/>
  </r>
  <r>
    <x v="9"/>
    <n v="23.2"/>
    <n v="3174"/>
    <n v="10.3"/>
    <s v="Solar"/>
    <n v="42"/>
    <x v="46"/>
    <n v="8"/>
    <n v="20"/>
    <s v="Critical"/>
    <n v="10"/>
    <n v="119.5"/>
    <s v="High"/>
    <x v="9"/>
  </r>
  <r>
    <x v="10"/>
    <n v="24.8"/>
    <n v="4759"/>
    <n v="4.8"/>
    <s v="Solar"/>
    <n v="25"/>
    <x v="52"/>
    <n v="9"/>
    <n v="26.5"/>
    <s v="Medium"/>
    <n v="5"/>
    <n v="59.5"/>
    <s v="Medium"/>
    <x v="10"/>
  </r>
  <r>
    <x v="0"/>
    <n v="20.9"/>
    <n v="4686"/>
    <n v="5.7"/>
    <s v="Wind"/>
    <n v="38"/>
    <x v="37"/>
    <n v="9"/>
    <n v="20"/>
    <s v="Medium"/>
    <n v="5"/>
    <n v="59.6"/>
    <s v="High"/>
    <x v="0"/>
  </r>
  <r>
    <x v="9"/>
    <n v="24.1"/>
    <n v="2366"/>
    <n v="5.7"/>
    <s v="Thermal"/>
    <n v="31"/>
    <x v="22"/>
    <n v="8"/>
    <n v="33"/>
    <s v="Medium"/>
    <n v="5.7"/>
    <n v="68.7"/>
    <s v="Medium"/>
    <x v="9"/>
  </r>
  <r>
    <x v="9"/>
    <n v="8.6999999999999993"/>
    <n v="1281"/>
    <n v="6.8"/>
    <s v="Wind"/>
    <n v="25"/>
    <x v="32"/>
    <n v="7"/>
    <n v="37.5"/>
    <s v="High"/>
    <n v="2.5"/>
    <n v="29.6"/>
    <s v="Medium"/>
    <x v="9"/>
  </r>
  <r>
    <x v="9"/>
    <n v="18.8"/>
    <n v="4819"/>
    <n v="5.5"/>
    <s v="Solar"/>
    <n v="30"/>
    <x v="25"/>
    <n v="9"/>
    <n v="30"/>
    <s v="Medium"/>
    <n v="4.3"/>
    <n v="51.7"/>
    <s v="Low"/>
    <x v="9"/>
  </r>
  <r>
    <x v="8"/>
    <n v="24"/>
    <n v="2307"/>
    <n v="8.5"/>
    <s v="Hydel"/>
    <n v="30"/>
    <x v="22"/>
    <n v="7"/>
    <n v="30"/>
    <s v="High"/>
    <n v="8.5"/>
    <n v="102"/>
    <s v="Medium"/>
    <x v="8"/>
  </r>
  <r>
    <x v="8"/>
    <n v="8.1"/>
    <n v="1199"/>
    <n v="7.6"/>
    <s v="Thermal"/>
    <n v="37"/>
    <x v="26"/>
    <n v="4"/>
    <n v="27"/>
    <s v="High"/>
    <n v="2.6"/>
    <n v="30.8"/>
    <s v="Medium"/>
    <x v="8"/>
  </r>
  <r>
    <x v="7"/>
    <n v="23.8"/>
    <n v="3925"/>
    <n v="5.7"/>
    <s v="Hydel"/>
    <n v="31"/>
    <x v="32"/>
    <n v="6"/>
    <n v="38.5"/>
    <s v="Medium"/>
    <n v="5.7"/>
    <n v="67.8"/>
    <s v="Medium"/>
    <x v="7"/>
  </r>
  <r>
    <x v="0"/>
    <n v="6.8"/>
    <n v="1839"/>
    <n v="8.6999999999999993"/>
    <s v="Wind"/>
    <n v="38"/>
    <x v="18"/>
    <n v="6"/>
    <n v="25.5"/>
    <s v="High"/>
    <n v="2.5"/>
    <n v="29.6"/>
    <s v="High"/>
    <x v="0"/>
  </r>
  <r>
    <x v="11"/>
    <n v="6.2"/>
    <n v="962"/>
    <n v="8.8000000000000007"/>
    <s v="Hydel"/>
    <n v="32"/>
    <x v="9"/>
    <n v="4"/>
    <n v="24"/>
    <s v="High"/>
    <n v="2.2999999999999998"/>
    <n v="27.3"/>
    <s v="Medium"/>
    <x v="11"/>
  </r>
  <r>
    <x v="4"/>
    <n v="15.7"/>
    <n v="2086"/>
    <n v="8.1999999999999993"/>
    <s v="Thermal"/>
    <n v="28"/>
    <x v="33"/>
    <n v="8"/>
    <n v="32"/>
    <s v="High"/>
    <n v="5.4"/>
    <n v="64.400000000000006"/>
    <s v="Medium"/>
    <x v="4"/>
  </r>
  <r>
    <x v="3"/>
    <n v="11.5"/>
    <n v="3189"/>
    <n v="5.4"/>
    <s v="Wind"/>
    <n v="29"/>
    <x v="28"/>
    <n v="9"/>
    <n v="35.5"/>
    <s v="Medium"/>
    <n v="2.6"/>
    <n v="31.1"/>
    <s v="Low"/>
    <x v="3"/>
  </r>
  <r>
    <x v="1"/>
    <n v="9.5"/>
    <n v="1040"/>
    <n v="4.0999999999999996"/>
    <s v="Thermal"/>
    <n v="27"/>
    <x v="56"/>
    <n v="4"/>
    <n v="42"/>
    <s v="Medium"/>
    <n v="1.6"/>
    <n v="19.5"/>
    <s v="Medium"/>
    <x v="1"/>
  </r>
  <r>
    <x v="14"/>
    <n v="9.1999999999999993"/>
    <n v="802"/>
    <n v="5.5"/>
    <s v="Thermal"/>
    <n v="30"/>
    <x v="48"/>
    <n v="4"/>
    <n v="52"/>
    <s v="Medium"/>
    <n v="2.1"/>
    <n v="25.3"/>
    <s v="Low"/>
    <x v="14"/>
  </r>
  <r>
    <x v="4"/>
    <n v="12.2"/>
    <n v="2936"/>
    <n v="7.8"/>
    <s v="Thermal"/>
    <n v="45"/>
    <x v="30"/>
    <n v="9"/>
    <n v="21"/>
    <s v="High"/>
    <n v="4"/>
    <n v="47.6"/>
    <s v="High"/>
    <x v="4"/>
  </r>
  <r>
    <x v="5"/>
    <n v="17.600000000000001"/>
    <n v="2771"/>
    <n v="6.7"/>
    <s v="Hydel"/>
    <n v="38"/>
    <x v="11"/>
    <n v="6"/>
    <n v="22.5"/>
    <s v="High"/>
    <n v="4.9000000000000004"/>
    <n v="59"/>
    <s v="High"/>
    <x v="5"/>
  </r>
  <r>
    <x v="2"/>
    <n v="5.8"/>
    <n v="1463"/>
    <n v="6.5"/>
    <s v="Wind"/>
    <n v="30"/>
    <x v="50"/>
    <n v="4"/>
    <n v="46.5"/>
    <s v="High"/>
    <n v="1.6"/>
    <n v="18.899999999999999"/>
    <s v="Low"/>
    <x v="2"/>
  </r>
  <r>
    <x v="6"/>
    <n v="9.5"/>
    <n v="931"/>
    <n v="4.2"/>
    <s v="Hydel"/>
    <n v="28"/>
    <x v="62"/>
    <n v="6"/>
    <n v="42.5"/>
    <s v="Medium"/>
    <n v="1.7"/>
    <n v="20"/>
    <s v="Low"/>
    <x v="6"/>
  </r>
  <r>
    <x v="14"/>
    <n v="15.5"/>
    <n v="3737"/>
    <n v="8.6999999999999993"/>
    <s v="Solar"/>
    <n v="31"/>
    <x v="51"/>
    <n v="6"/>
    <n v="27"/>
    <s v="High"/>
    <n v="5.6"/>
    <n v="67.400000000000006"/>
    <s v="Medium"/>
    <x v="14"/>
  </r>
  <r>
    <x v="0"/>
    <n v="9.5"/>
    <n v="1023"/>
    <n v="9.3000000000000007"/>
    <s v="Solar"/>
    <n v="35"/>
    <x v="14"/>
    <n v="4"/>
    <n v="35.5"/>
    <s v="High"/>
    <n v="3.7"/>
    <n v="44.2"/>
    <s v="Medium"/>
    <x v="0"/>
  </r>
  <r>
    <x v="6"/>
    <n v="18.899999999999999"/>
    <n v="4001"/>
    <n v="6.1"/>
    <s v="Wind"/>
    <n v="27"/>
    <x v="45"/>
    <n v="7"/>
    <n v="33.5"/>
    <s v="High"/>
    <n v="4.8"/>
    <n v="57.6"/>
    <s v="Medium"/>
    <x v="6"/>
  </r>
  <r>
    <x v="4"/>
    <n v="3.2"/>
    <n v="199"/>
    <n v="5.3"/>
    <s v="Thermal"/>
    <n v="35"/>
    <x v="42"/>
    <n v="2"/>
    <n v="40.5"/>
    <s v="Medium"/>
    <n v="0.7"/>
    <n v="8.5"/>
    <s v="Medium"/>
    <x v="4"/>
  </r>
  <r>
    <x v="14"/>
    <n v="17.600000000000001"/>
    <n v="2858"/>
    <n v="7.1"/>
    <s v="Solar"/>
    <n v="34"/>
    <x v="34"/>
    <n v="9"/>
    <n v="27"/>
    <s v="High"/>
    <n v="5.2"/>
    <n v="62.5"/>
    <s v="Medium"/>
    <x v="14"/>
  </r>
  <r>
    <x v="1"/>
    <n v="14.1"/>
    <n v="2759"/>
    <n v="5.6"/>
    <s v="Solar"/>
    <n v="37"/>
    <x v="30"/>
    <n v="6"/>
    <n v="26"/>
    <s v="Medium"/>
    <n v="3.3"/>
    <n v="39.5"/>
    <s v="High"/>
    <x v="1"/>
  </r>
  <r>
    <x v="11"/>
    <n v="19.2"/>
    <n v="2032"/>
    <n v="7.2"/>
    <s v="Wind"/>
    <n v="28"/>
    <x v="48"/>
    <n v="8"/>
    <n v="40"/>
    <s v="High"/>
    <n v="5.8"/>
    <n v="69.099999999999994"/>
    <s v="Low"/>
    <x v="11"/>
  </r>
  <r>
    <x v="7"/>
    <n v="6.8"/>
    <n v="1232"/>
    <n v="7.6"/>
    <s v="Thermal"/>
    <n v="37"/>
    <x v="21"/>
    <n v="4"/>
    <n v="36"/>
    <s v="High"/>
    <n v="2.2000000000000002"/>
    <n v="25.8"/>
    <s v="Medium"/>
    <x v="7"/>
  </r>
  <r>
    <x v="9"/>
    <n v="13.6"/>
    <n v="4753"/>
    <n v="5.0999999999999996"/>
    <s v="Solar"/>
    <n v="34"/>
    <x v="12"/>
    <n v="9"/>
    <n v="17.5"/>
    <s v="Medium"/>
    <n v="2.9"/>
    <n v="34.700000000000003"/>
    <s v="High"/>
    <x v="9"/>
  </r>
  <r>
    <x v="2"/>
    <n v="6.7"/>
    <n v="1812"/>
    <n v="7.3"/>
    <s v="Solar"/>
    <n v="42"/>
    <x v="21"/>
    <n v="4"/>
    <n v="31"/>
    <s v="High"/>
    <n v="2"/>
    <n v="24.5"/>
    <s v="Medium"/>
    <x v="2"/>
  </r>
  <r>
    <x v="9"/>
    <n v="16.100000000000001"/>
    <n v="2383"/>
    <n v="6.1"/>
    <s v="Hydel"/>
    <n v="27"/>
    <x v="32"/>
    <n v="8"/>
    <n v="29.5"/>
    <s v="High"/>
    <n v="4.0999999999999996"/>
    <n v="49.1"/>
    <s v="Medium"/>
    <x v="9"/>
  </r>
  <r>
    <x v="5"/>
    <n v="24.1"/>
    <n v="2137"/>
    <n v="6.8"/>
    <s v="Thermal"/>
    <n v="25"/>
    <x v="41"/>
    <n v="9"/>
    <n v="38.5"/>
    <s v="High"/>
    <n v="6.8"/>
    <n v="81.900000000000006"/>
    <s v="Low"/>
    <x v="5"/>
  </r>
  <r>
    <x v="13"/>
    <n v="1.7"/>
    <n v="561"/>
    <n v="8"/>
    <s v="Wind"/>
    <n v="33"/>
    <x v="13"/>
    <n v="3"/>
    <n v="29.5"/>
    <s v="High"/>
    <n v="0.6"/>
    <n v="6.8"/>
    <s v="Medium"/>
    <x v="13"/>
  </r>
  <r>
    <x v="5"/>
    <n v="12.5"/>
    <n v="3466"/>
    <n v="8"/>
    <s v="Wind"/>
    <n v="33"/>
    <x v="42"/>
    <n v="6"/>
    <n v="35.5"/>
    <s v="High"/>
    <n v="4.2"/>
    <n v="50"/>
    <s v="Medium"/>
    <x v="5"/>
  </r>
  <r>
    <x v="2"/>
    <n v="15.9"/>
    <n v="2316"/>
    <n v="4.2"/>
    <s v="Thermal"/>
    <n v="28"/>
    <x v="42"/>
    <n v="6"/>
    <n v="40.5"/>
    <s v="Medium"/>
    <n v="2.8"/>
    <n v="33.4"/>
    <s v="Medium"/>
    <x v="2"/>
  </r>
  <r>
    <x v="4"/>
    <n v="10.1"/>
    <n v="4798"/>
    <n v="7.5"/>
    <s v="Solar"/>
    <n v="30"/>
    <x v="41"/>
    <n v="6"/>
    <n v="36.5"/>
    <s v="High"/>
    <n v="3.2"/>
    <n v="37.9"/>
    <s v="Low"/>
    <x v="4"/>
  </r>
  <r>
    <x v="4"/>
    <n v="25"/>
    <n v="2916"/>
    <n v="9.3000000000000007"/>
    <s v="Wind"/>
    <n v="35"/>
    <x v="21"/>
    <n v="8"/>
    <n v="18"/>
    <s v="High"/>
    <n v="9.6999999999999993"/>
    <n v="116.3"/>
    <s v="High"/>
    <x v="4"/>
  </r>
  <r>
    <x v="6"/>
    <n v="20.7"/>
    <n v="2525"/>
    <n v="6.5"/>
    <s v="Wind"/>
    <n v="30"/>
    <x v="48"/>
    <n v="9"/>
    <n v="41"/>
    <s v="High"/>
    <n v="5.6"/>
    <n v="67.3"/>
    <s v="Low"/>
    <x v="6"/>
  </r>
  <r>
    <x v="6"/>
    <n v="3.1"/>
    <n v="509"/>
    <n v="6.1"/>
    <s v="Solar"/>
    <n v="27"/>
    <x v="14"/>
    <n v="5"/>
    <n v="38.5"/>
    <s v="High"/>
    <n v="0.8"/>
    <n v="9.5"/>
    <s v="Medium"/>
    <x v="6"/>
  </r>
  <r>
    <x v="4"/>
    <n v="3.7"/>
    <n v="442"/>
    <n v="6.1"/>
    <s v="Hydel"/>
    <n v="34"/>
    <x v="56"/>
    <n v="4"/>
    <n v="41"/>
    <s v="High"/>
    <n v="0.9"/>
    <n v="11.3"/>
    <s v="Medium"/>
    <x v="4"/>
  </r>
  <r>
    <x v="7"/>
    <n v="23.1"/>
    <n v="3810"/>
    <n v="8.8000000000000007"/>
    <s v="Hydel"/>
    <n v="32"/>
    <x v="30"/>
    <n v="7"/>
    <n v="27"/>
    <s v="High"/>
    <n v="8.5"/>
    <n v="101.6"/>
    <s v="High"/>
    <x v="7"/>
  </r>
  <r>
    <x v="8"/>
    <n v="1.6"/>
    <n v="649"/>
    <n v="7.1"/>
    <s v="Thermal"/>
    <n v="34"/>
    <x v="14"/>
    <n v="4"/>
    <n v="36.5"/>
    <s v="High"/>
    <n v="0.5"/>
    <n v="5.7"/>
    <s v="Medium"/>
    <x v="8"/>
  </r>
  <r>
    <x v="13"/>
    <n v="1.1000000000000001"/>
    <n v="568"/>
    <n v="9.6"/>
    <s v="Solar"/>
    <n v="37"/>
    <x v="58"/>
    <n v="3"/>
    <n v="24"/>
    <s v="High"/>
    <n v="0.4"/>
    <n v="5.3"/>
    <s v="Medium"/>
    <x v="13"/>
  </r>
  <r>
    <x v="12"/>
    <n v="8.6999999999999993"/>
    <n v="1197"/>
    <n v="8.6999999999999993"/>
    <s v="Solar"/>
    <n v="31"/>
    <x v="36"/>
    <n v="6"/>
    <n v="38.5"/>
    <s v="High"/>
    <n v="3.2"/>
    <n v="37.799999999999997"/>
    <s v="Medium"/>
    <x v="12"/>
  </r>
  <r>
    <x v="12"/>
    <n v="6.9"/>
    <n v="1372"/>
    <n v="8.6999999999999993"/>
    <s v="Thermal"/>
    <n v="38"/>
    <x v="54"/>
    <n v="7"/>
    <n v="22.5"/>
    <s v="High"/>
    <n v="2.5"/>
    <n v="30"/>
    <s v="High"/>
    <x v="12"/>
  </r>
  <r>
    <x v="2"/>
    <n v="11.9"/>
    <n v="3656"/>
    <n v="5.6"/>
    <s v="Hydel"/>
    <n v="37"/>
    <x v="57"/>
    <n v="7"/>
    <n v="20.5"/>
    <s v="Medium"/>
    <n v="2.8"/>
    <n v="33.299999999999997"/>
    <s v="High"/>
    <x v="2"/>
  </r>
  <r>
    <x v="8"/>
    <n v="11.8"/>
    <n v="2682"/>
    <n v="5.5"/>
    <s v="Hydel"/>
    <n v="30"/>
    <x v="50"/>
    <n v="6"/>
    <n v="35.5"/>
    <s v="Medium"/>
    <n v="2.7"/>
    <n v="32.5"/>
    <s v="Low"/>
    <x v="8"/>
  </r>
  <r>
    <x v="11"/>
    <n v="23.1"/>
    <n v="4881"/>
    <n v="5"/>
    <s v="Wind"/>
    <n v="33"/>
    <x v="21"/>
    <n v="9"/>
    <n v="19"/>
    <s v="Medium"/>
    <n v="4.8"/>
    <n v="57.8"/>
    <s v="High"/>
    <x v="11"/>
  </r>
  <r>
    <x v="7"/>
    <n v="1.7"/>
    <n v="732"/>
    <n v="7.5"/>
    <s v="Thermal"/>
    <n v="30"/>
    <x v="29"/>
    <n v="5"/>
    <n v="43"/>
    <s v="High"/>
    <n v="0.5"/>
    <n v="6.4"/>
    <s v="Low"/>
    <x v="7"/>
  </r>
  <r>
    <x v="8"/>
    <n v="3.5"/>
    <n v="618"/>
    <n v="6.1"/>
    <s v="Thermal"/>
    <n v="34"/>
    <x v="21"/>
    <n v="4"/>
    <n v="35"/>
    <s v="High"/>
    <n v="0.9"/>
    <n v="10.7"/>
    <s v="Medium"/>
    <x v="8"/>
  </r>
  <r>
    <x v="6"/>
    <n v="21.4"/>
    <n v="3646"/>
    <n v="7.2"/>
    <s v="Thermal"/>
    <n v="28"/>
    <x v="50"/>
    <n v="8"/>
    <n v="35.5"/>
    <s v="High"/>
    <n v="6.4"/>
    <n v="77"/>
    <s v="Low"/>
    <x v="6"/>
  </r>
  <r>
    <x v="11"/>
    <n v="13.9"/>
    <n v="4158"/>
    <n v="4.0999999999999996"/>
    <s v="Thermal"/>
    <n v="27"/>
    <x v="33"/>
    <n v="7"/>
    <n v="29"/>
    <s v="Medium"/>
    <n v="2.4"/>
    <n v="28.5"/>
    <s v="Medium"/>
    <x v="11"/>
  </r>
  <r>
    <x v="10"/>
    <n v="21.2"/>
    <n v="4332"/>
    <n v="7.7"/>
    <s v="Solar"/>
    <n v="38"/>
    <x v="54"/>
    <n v="8"/>
    <n v="19.5"/>
    <s v="High"/>
    <n v="6.8"/>
    <n v="81.599999999999994"/>
    <s v="High"/>
    <x v="10"/>
  </r>
  <r>
    <x v="8"/>
    <n v="4.2"/>
    <n v="234"/>
    <n v="5.0999999999999996"/>
    <s v="Thermal"/>
    <n v="34"/>
    <x v="36"/>
    <n v="2"/>
    <n v="45.5"/>
    <s v="Medium"/>
    <n v="0.9"/>
    <n v="10.7"/>
    <s v="Medium"/>
    <x v="8"/>
  </r>
  <r>
    <x v="6"/>
    <n v="17.2"/>
    <n v="4260"/>
    <n v="9"/>
    <s v="Hydel"/>
    <n v="40"/>
    <x v="63"/>
    <n v="7"/>
    <n v="21.5"/>
    <s v="High"/>
    <n v="6.5"/>
    <n v="77.400000000000006"/>
    <s v="High"/>
    <x v="6"/>
  </r>
  <r>
    <x v="4"/>
    <n v="13.3"/>
    <n v="3150"/>
    <n v="9.3000000000000007"/>
    <s v="Hydel"/>
    <n v="35"/>
    <x v="52"/>
    <n v="7"/>
    <n v="34.5"/>
    <s v="High"/>
    <n v="5.2"/>
    <n v="61.8"/>
    <s v="Medium"/>
    <x v="4"/>
  </r>
  <r>
    <x v="11"/>
    <n v="13.2"/>
    <n v="2504"/>
    <n v="6.2"/>
    <s v="Solar"/>
    <n v="28"/>
    <x v="44"/>
    <n v="8"/>
    <n v="36"/>
    <s v="High"/>
    <n v="3.4"/>
    <n v="40.9"/>
    <s v="Low"/>
    <x v="11"/>
  </r>
  <r>
    <x v="5"/>
    <n v="24.9"/>
    <n v="2888"/>
    <n v="4.8"/>
    <s v="Thermal"/>
    <n v="25"/>
    <x v="36"/>
    <n v="7"/>
    <n v="32.5"/>
    <s v="Medium"/>
    <n v="5"/>
    <n v="59.8"/>
    <s v="Medium"/>
    <x v="5"/>
  </r>
  <r>
    <x v="10"/>
    <n v="14.7"/>
    <n v="2714"/>
    <n v="8.8000000000000007"/>
    <s v="Hydel"/>
    <n v="32"/>
    <x v="34"/>
    <n v="9"/>
    <n v="21"/>
    <s v="High"/>
    <n v="5.4"/>
    <n v="64.7"/>
    <s v="Medium"/>
    <x v="10"/>
  </r>
  <r>
    <x v="10"/>
    <n v="20.399999999999999"/>
    <n v="3627"/>
    <n v="8.8000000000000007"/>
    <s v="Wind"/>
    <n v="45"/>
    <x v="15"/>
    <n v="7"/>
    <n v="17"/>
    <s v="High"/>
    <n v="7.5"/>
    <n v="89.8"/>
    <s v="High"/>
    <x v="10"/>
  </r>
  <r>
    <x v="7"/>
    <n v="12.3"/>
    <n v="2010"/>
    <n v="8.4"/>
    <s v="Hydel"/>
    <n v="29"/>
    <x v="45"/>
    <n v="8"/>
    <n v="28.5"/>
    <s v="High"/>
    <n v="4.3"/>
    <n v="51.7"/>
    <s v="Medium"/>
    <x v="7"/>
  </r>
  <r>
    <x v="14"/>
    <n v="18.3"/>
    <n v="3406"/>
    <n v="9.3000000000000007"/>
    <s v="Thermal"/>
    <n v="42"/>
    <x v="21"/>
    <n v="6"/>
    <n v="24"/>
    <s v="High"/>
    <n v="7.1"/>
    <n v="85.1"/>
    <s v="High"/>
    <x v="14"/>
  </r>
  <r>
    <x v="12"/>
    <n v="3.6"/>
    <n v="651"/>
    <n v="9.8000000000000007"/>
    <s v="Thermal"/>
    <n v="45"/>
    <x v="53"/>
    <n v="4"/>
    <n v="14.5"/>
    <s v="High"/>
    <n v="1.5"/>
    <n v="17.600000000000001"/>
    <s v="Medium"/>
    <x v="12"/>
  </r>
  <r>
    <x v="5"/>
    <n v="7.6"/>
    <n v="1020"/>
    <n v="6.3"/>
    <s v="Thermal"/>
    <n v="35"/>
    <x v="12"/>
    <n v="4"/>
    <n v="26.5"/>
    <s v="High"/>
    <n v="2"/>
    <n v="23.9"/>
    <s v="Medium"/>
    <x v="5"/>
  </r>
  <r>
    <x v="14"/>
    <n v="10.4"/>
    <n v="4625"/>
    <n v="8.8000000000000007"/>
    <s v="Wind"/>
    <n v="32"/>
    <x v="45"/>
    <n v="8"/>
    <n v="26.5"/>
    <s v="High"/>
    <n v="3.8"/>
    <n v="45.8"/>
    <s v="Medium"/>
    <x v="14"/>
  </r>
  <r>
    <x v="3"/>
    <n v="17.899999999999999"/>
    <n v="3238"/>
    <n v="8.5"/>
    <s v="Thermal"/>
    <n v="30"/>
    <x v="24"/>
    <n v="9"/>
    <n v="30"/>
    <s v="High"/>
    <n v="6.3"/>
    <n v="76.099999999999994"/>
    <s v="Low"/>
    <x v="3"/>
  </r>
  <r>
    <x v="4"/>
    <n v="7.1"/>
    <n v="1419"/>
    <n v="4.2"/>
    <s v="Thermal"/>
    <n v="28"/>
    <x v="42"/>
    <n v="4"/>
    <n v="43.5"/>
    <s v="Medium"/>
    <n v="1.2"/>
    <n v="14.9"/>
    <s v="Medium"/>
    <x v="4"/>
  </r>
  <r>
    <x v="4"/>
    <n v="20.7"/>
    <n v="4129"/>
    <n v="6.1"/>
    <s v="Thermal"/>
    <n v="34"/>
    <x v="7"/>
    <n v="8"/>
    <n v="27"/>
    <s v="High"/>
    <n v="5.3"/>
    <n v="63.1"/>
    <s v="Medium"/>
    <x v="4"/>
  </r>
  <r>
    <x v="2"/>
    <n v="18.7"/>
    <n v="2127"/>
    <n v="8.1"/>
    <s v="Solar"/>
    <n v="34"/>
    <x v="36"/>
    <n v="7"/>
    <n v="37.5"/>
    <s v="High"/>
    <n v="6.3"/>
    <n v="75.7"/>
    <s v="Medium"/>
    <x v="2"/>
  </r>
  <r>
    <x v="6"/>
    <n v="1.2"/>
    <n v="552"/>
    <n v="5.8"/>
    <s v="Solar"/>
    <n v="32"/>
    <x v="52"/>
    <n v="2"/>
    <n v="41.5"/>
    <s v="Medium"/>
    <n v="0.3"/>
    <n v="3.5"/>
    <s v="Medium"/>
    <x v="6"/>
  </r>
  <r>
    <x v="9"/>
    <n v="8.5"/>
    <n v="1356"/>
    <n v="8.6999999999999993"/>
    <s v="Hydel"/>
    <n v="31"/>
    <x v="16"/>
    <n v="5"/>
    <n v="31.5"/>
    <s v="High"/>
    <n v="3.1"/>
    <n v="37"/>
    <s v="Medium"/>
    <x v="9"/>
  </r>
  <r>
    <x v="2"/>
    <n v="22.8"/>
    <n v="4758"/>
    <n v="6.8"/>
    <s v="Thermal"/>
    <n v="25"/>
    <x v="14"/>
    <n v="9"/>
    <n v="28.5"/>
    <s v="High"/>
    <n v="6.5"/>
    <n v="77.5"/>
    <s v="Medium"/>
    <x v="2"/>
  </r>
  <r>
    <x v="2"/>
    <n v="13.7"/>
    <n v="2152"/>
    <n v="8.5"/>
    <s v="Hydel"/>
    <n v="30"/>
    <x v="24"/>
    <n v="6"/>
    <n v="38"/>
    <s v="High"/>
    <n v="4.9000000000000004"/>
    <n v="58.2"/>
    <s v="Low"/>
    <x v="2"/>
  </r>
  <r>
    <x v="11"/>
    <n v="11.9"/>
    <n v="2874"/>
    <n v="4.4000000000000004"/>
    <s v="Hydel"/>
    <n v="29"/>
    <x v="41"/>
    <n v="7"/>
    <n v="43.5"/>
    <s v="Medium"/>
    <n v="2.2000000000000002"/>
    <n v="26.2"/>
    <s v="Low"/>
    <x v="11"/>
  </r>
  <r>
    <x v="10"/>
    <n v="8.3000000000000007"/>
    <n v="1262"/>
    <n v="6.3"/>
    <s v="Hydel"/>
    <n v="35"/>
    <x v="32"/>
    <n v="4"/>
    <n v="44.5"/>
    <s v="High"/>
    <n v="2.2000000000000002"/>
    <n v="26.1"/>
    <s v="Medium"/>
    <x v="10"/>
  </r>
  <r>
    <x v="2"/>
    <n v="20.3"/>
    <n v="4611"/>
    <n v="7.7"/>
    <s v="Thermal"/>
    <n v="31"/>
    <x v="32"/>
    <n v="6"/>
    <n v="40.5"/>
    <s v="High"/>
    <n v="6.5"/>
    <n v="78.2"/>
    <s v="Medium"/>
    <x v="2"/>
  </r>
  <r>
    <x v="3"/>
    <n v="16.5"/>
    <n v="3524"/>
    <n v="6.1"/>
    <s v="Thermal"/>
    <n v="27"/>
    <x v="41"/>
    <n v="8"/>
    <n v="32.5"/>
    <s v="High"/>
    <n v="4.2"/>
    <n v="50.3"/>
    <s v="Low"/>
    <x v="3"/>
  </r>
  <r>
    <x v="8"/>
    <n v="12.7"/>
    <n v="2614"/>
    <n v="5.8"/>
    <s v="Hydel"/>
    <n v="32"/>
    <x v="27"/>
    <n v="9"/>
    <n v="27.5"/>
    <s v="Medium"/>
    <n v="3.1"/>
    <n v="36.799999999999997"/>
    <s v="Medium"/>
    <x v="8"/>
  </r>
  <r>
    <x v="7"/>
    <n v="24.6"/>
    <n v="3185"/>
    <n v="9.6999999999999993"/>
    <s v="Wind"/>
    <n v="38"/>
    <x v="30"/>
    <n v="8"/>
    <n v="26"/>
    <s v="High"/>
    <n v="9.9"/>
    <n v="119.3"/>
    <s v="High"/>
    <x v="7"/>
  </r>
  <r>
    <x v="4"/>
    <n v="9.1"/>
    <n v="1171"/>
    <n v="8.3000000000000007"/>
    <s v="Thermal"/>
    <n v="42"/>
    <x v="39"/>
    <n v="6"/>
    <n v="26"/>
    <s v="High"/>
    <n v="3.1"/>
    <n v="37.799999999999997"/>
    <s v="Medium"/>
    <x v="4"/>
  </r>
  <r>
    <x v="14"/>
    <n v="3.8"/>
    <n v="373"/>
    <n v="4.7"/>
    <s v="Thermal"/>
    <n v="31"/>
    <x v="51"/>
    <n v="3"/>
    <n v="37"/>
    <s v="Medium"/>
    <n v="0.7"/>
    <n v="8.9"/>
    <s v="Medium"/>
    <x v="14"/>
  </r>
  <r>
    <x v="6"/>
    <n v="16.399999999999999"/>
    <n v="4943"/>
    <n v="7.3"/>
    <s v="Wind"/>
    <n v="35"/>
    <x v="32"/>
    <n v="9"/>
    <n v="32.5"/>
    <s v="High"/>
    <n v="5"/>
    <n v="59.9"/>
    <s v="Medium"/>
    <x v="6"/>
  </r>
  <r>
    <x v="8"/>
    <n v="3"/>
    <n v="512"/>
    <n v="10"/>
    <s v="Wind"/>
    <n v="40"/>
    <x v="57"/>
    <n v="5"/>
    <n v="18.5"/>
    <s v="High"/>
    <n v="1.3"/>
    <n v="15"/>
    <s v="Medium"/>
    <x v="8"/>
  </r>
  <r>
    <x v="13"/>
    <n v="13"/>
    <n v="4776"/>
    <n v="9.8000000000000007"/>
    <s v="Thermal"/>
    <n v="45"/>
    <x v="6"/>
    <n v="7"/>
    <n v="17"/>
    <s v="High"/>
    <n v="5.3"/>
    <n v="63.7"/>
    <s v="High"/>
    <x v="13"/>
  </r>
  <r>
    <x v="13"/>
    <n v="9.6999999999999993"/>
    <n v="839"/>
    <n v="9.6"/>
    <s v="Solar"/>
    <n v="37"/>
    <x v="13"/>
    <n v="7"/>
    <n v="20.5"/>
    <s v="High"/>
    <n v="3.9"/>
    <n v="46.6"/>
    <s v="High"/>
    <x v="13"/>
  </r>
  <r>
    <x v="14"/>
    <n v="12.7"/>
    <n v="3122"/>
    <n v="4.8"/>
    <s v="Thermal"/>
    <n v="25"/>
    <x v="60"/>
    <n v="6"/>
    <n v="43.5"/>
    <s v="Medium"/>
    <n v="2.5"/>
    <n v="30.5"/>
    <s v="Low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A6232-50B7-4F9E-A092-54CD5320D7A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O6:P17" firstHeaderRow="1" firstDataRow="1" firstDataCol="1"/>
  <pivotFields count="14">
    <pivotField axis="axisRow" compact="0" outline="0" showAll="0" measureFilter="1">
      <items count="16">
        <item x="7"/>
        <item x="5"/>
        <item x="11"/>
        <item x="12"/>
        <item x="2"/>
        <item x="14"/>
        <item x="9"/>
        <item x="0"/>
        <item x="10"/>
        <item x="8"/>
        <item x="4"/>
        <item x="1"/>
        <item x="13"/>
        <item x="6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2"/>
    </i>
    <i>
      <x v="3"/>
    </i>
    <i>
      <x v="4"/>
    </i>
    <i>
      <x v="7"/>
    </i>
    <i>
      <x v="8"/>
    </i>
    <i>
      <x v="9"/>
    </i>
    <i>
      <x v="10"/>
    </i>
    <i>
      <x v="12"/>
    </i>
    <i>
      <x v="14"/>
    </i>
    <i t="grand">
      <x/>
    </i>
  </rowItems>
  <colItems count="1">
    <i/>
  </colItems>
  <dataFields count="1">
    <dataField name="Average of Outages_Hours" fld="3" subtotal="average" baseField="0" baseItem="0"/>
  </dataFields>
  <formats count="24">
    <format dxfId="4">
      <pivotArea type="all" dataOnly="0" outline="0" fieldPosition="0"/>
    </format>
    <format dxfId="5">
      <pivotArea outline="0" collapsedLevelsAreSubtotals="1" fieldPosition="0"/>
    </format>
    <format dxfId="6">
      <pivotArea field="0" type="button" dataOnly="0" labelOnly="1" outline="0" axis="axisRow" fieldPosition="0"/>
    </format>
    <format dxfId="7">
      <pivotArea dataOnly="0" labelOnly="1" outline="0" fieldPosition="0">
        <references count="1">
          <reference field="0" count="10">
            <x v="0"/>
            <x v="2"/>
            <x v="3"/>
            <x v="4"/>
            <x v="7"/>
            <x v="8"/>
            <x v="9"/>
            <x v="10"/>
            <x v="12"/>
            <x v="14"/>
          </reference>
        </references>
      </pivotArea>
    </format>
    <format dxfId="8">
      <pivotArea dataOnly="0" labelOnly="1" grandRow="1" outline="0" fieldPosition="0"/>
    </format>
    <format dxfId="9">
      <pivotArea dataOnly="0" labelOnly="1" outline="0" axis="axisValues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0" count="10">
            <x v="0"/>
            <x v="2"/>
            <x v="3"/>
            <x v="4"/>
            <x v="7"/>
            <x v="8"/>
            <x v="9"/>
            <x v="10"/>
            <x v="12"/>
            <x v="14"/>
          </reference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0" type="button" dataOnly="0" labelOnly="1" outline="0" axis="axisRow" fieldPosition="0"/>
    </format>
    <format dxfId="19">
      <pivotArea dataOnly="0" labelOnly="1" outline="0" fieldPosition="0">
        <references count="1">
          <reference field="0" count="10">
            <x v="0"/>
            <x v="2"/>
            <x v="3"/>
            <x v="4"/>
            <x v="7"/>
            <x v="8"/>
            <x v="9"/>
            <x v="10"/>
            <x v="12"/>
            <x v="14"/>
          </reference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10">
            <x v="0"/>
            <x v="2"/>
            <x v="3"/>
            <x v="4"/>
            <x v="7"/>
            <x v="8"/>
            <x v="9"/>
            <x v="10"/>
            <x v="12"/>
            <x v="14"/>
          </reference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2349D-3D02-43F8-B892-BEF81D9DF82D}" name="Table1" displayName="Table1" ref="A1:O501" totalsRowShown="0" headerRowDxfId="3">
  <autoFilter ref="A1:O501" xr:uid="{CA22349D-3D02-43F8-B892-BEF81D9DF82D}"/>
  <tableColumns count="15">
    <tableColumn id="1" xr3:uid="{EEA1D10D-78BF-422F-AA39-C87ECBF009E1}" name="City"/>
    <tableColumn id="2" xr3:uid="{44BA4BEB-90C6-4757-814B-D48E0CB20BB2}" name="Population_Millions"/>
    <tableColumn id="3" xr3:uid="{B172F378-6E5F-4AA9-AF5A-F67EB33E104A}" name="Daily_Load_MW"/>
    <tableColumn id="4" xr3:uid="{04D6A07E-C2AF-41FD-B4C5-B411DCD1B8F8}" name="Outages_Hours"/>
    <tableColumn id="5" xr3:uid="{D601AB89-9F0C-4DB7-AF1B-5AF983886B81}" name="Energy_Source"/>
    <tableColumn id="6" xr3:uid="{48ADE0EB-1A46-4029-B957-6979ED7727A2}" name="Temperature_C"/>
    <tableColumn id="7" xr3:uid="{BBBD838A-D745-4B77-BB1E-5299273ABED6}" name="_x0009_Solar_Potential"/>
    <tableColumn id="8" xr3:uid="{6E9F717F-11C3-4258-A954-025006C94069}" name="Infrastructure_Score"/>
    <tableColumn id="9" xr3:uid="{F08903A9-9628-42B5-B3A4-B3C966562195}" name="Investment_Needed_Millions"/>
    <tableColumn id="10" xr3:uid="{05F75535-D7F3-4D72-994E-755E089F524E}" name="Crisis_Level"/>
    <tableColumn id="11" xr3:uid="{D4FC7D17-1A77-4AD3-A77D-4735D025F41E}" name="Affected_Population"/>
    <tableColumn id="12" xr3:uid="{4EC23D29-2755-4E44-8FB1-C14964A95895}" name="Economic_Loss_Millions"/>
    <tableColumn id="13" xr3:uid="{7E947B50-033A-4278-9820-07820E52818A}" name="Solar_Feasibility"/>
    <tableColumn id="14" xr3:uid="{C3E1AFEE-622E-496D-8633-85CFD0711C09}" name="Column1" dataDxfId="2">
      <calculatedColumnFormula>AVERAGEIF(Raw_Data!A:A, Raw_Data!A2, Raw_Data!D:D)</calculatedColumnFormula>
    </tableColumn>
    <tableColumn id="15" xr3:uid="{984E89B0-18F7-4BBA-B649-B8A64B12F07E}" name="Solar Category" dataDxfId="1">
      <calculatedColumnFormula>IF(G2&gt;70, "High Solar", IF(G2&lt;50, "Low Solar", "Medium Solar"))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B8BA0-34F0-48A7-9BFD-E5749620FD50}" name="Table2" displayName="Table2" ref="B2:H5" totalsRowShown="0" headerRowDxfId="0">
  <autoFilter ref="B2:H5" xr:uid="{6FFB8BA0-34F0-48A7-9BFD-E5749620FD50}"/>
  <tableColumns count="7">
    <tableColumn id="1" xr3:uid="{5C031A17-F48E-4E03-9270-CFFF2A8D9C27}" name="Column1"/>
    <tableColumn id="2" xr3:uid="{AF9F9954-F0F8-4A44-B601-EF05FFC12EC0}" name="Column2"/>
    <tableColumn id="3" xr3:uid="{77ACE55F-CC6D-434E-9D18-CE05F4781261}" name="Column3"/>
    <tableColumn id="4" xr3:uid="{05DFB506-AA83-4D83-8F61-E3A9B11675EE}" name="Column4"/>
    <tableColumn id="5" xr3:uid="{0F8B9C98-8312-4A02-960C-27D00509F987}" name="Column5"/>
    <tableColumn id="6" xr3:uid="{8CD4B526-C796-451A-A85A-2FBB0020C3B3}" name="Column6"/>
    <tableColumn id="7" xr3:uid="{B6128D3E-EB3C-42FA-81F0-FAECFC13F429}" name="Column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O501" sqref="O501"/>
    </sheetView>
  </sheetViews>
  <sheetFormatPr defaultRowHeight="15"/>
  <cols>
    <col min="1" max="1" width="11.5703125" bestFit="1" customWidth="1"/>
    <col min="2" max="2" width="21.7109375" bestFit="1" customWidth="1"/>
    <col min="3" max="3" width="18.28515625" bestFit="1" customWidth="1"/>
    <col min="4" max="4" width="17.28515625" bestFit="1" customWidth="1"/>
    <col min="5" max="5" width="16.7109375" bestFit="1" customWidth="1"/>
    <col min="6" max="6" width="9" customWidth="1"/>
    <col min="7" max="7" width="10.42578125" customWidth="1"/>
    <col min="8" max="8" width="9" customWidth="1"/>
    <col min="9" max="9" width="10.85546875" customWidth="1"/>
    <col min="10" max="10" width="13.7109375" bestFit="1" customWidth="1"/>
    <col min="11" max="11" width="10.42578125" customWidth="1"/>
    <col min="12" max="12" width="12.28515625" customWidth="1"/>
    <col min="13" max="13" width="18.140625" bestFit="1" customWidth="1"/>
    <col min="14" max="14" width="9.28515625" bestFit="1" customWidth="1"/>
    <col min="15" max="15" width="16.5703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t="s">
        <v>15</v>
      </c>
      <c r="B2">
        <v>20.9</v>
      </c>
      <c r="C2">
        <v>2300</v>
      </c>
      <c r="D2">
        <v>9.1</v>
      </c>
      <c r="E2" t="s">
        <v>16</v>
      </c>
      <c r="F2">
        <v>34</v>
      </c>
      <c r="G2">
        <v>56</v>
      </c>
      <c r="H2">
        <v>9</v>
      </c>
      <c r="I2">
        <v>25</v>
      </c>
      <c r="J2" t="s">
        <v>17</v>
      </c>
      <c r="K2">
        <v>7.9</v>
      </c>
      <c r="L2">
        <v>95.1</v>
      </c>
      <c r="M2" t="s">
        <v>18</v>
      </c>
      <c r="N2">
        <f>AVERAGEIF(Raw_Data!A:A, Raw_Data!A2, Raw_Data!D:D)</f>
        <v>7.1264705882352937</v>
      </c>
      <c r="O2" t="str">
        <f t="shared" ref="O2:O65" si="0">IF(G2&gt;70, "High Solar", IF(G2&lt;50, "Low Solar", "Medium Solar"))</f>
        <v>Medium Solar</v>
      </c>
    </row>
    <row r="3" spans="1:16">
      <c r="A3" t="s">
        <v>19</v>
      </c>
      <c r="B3">
        <v>21.3</v>
      </c>
      <c r="C3">
        <v>3805</v>
      </c>
      <c r="D3">
        <v>5.0999999999999996</v>
      </c>
      <c r="E3" t="s">
        <v>20</v>
      </c>
      <c r="F3">
        <v>27</v>
      </c>
      <c r="G3">
        <v>49</v>
      </c>
      <c r="H3">
        <v>6</v>
      </c>
      <c r="I3">
        <v>37.5</v>
      </c>
      <c r="J3" t="s">
        <v>18</v>
      </c>
      <c r="K3">
        <v>4.5</v>
      </c>
      <c r="L3">
        <v>54.3</v>
      </c>
      <c r="M3" t="s">
        <v>21</v>
      </c>
      <c r="N3">
        <f>AVERAGEIF(Raw_Data!A:A, Raw_Data!A3, Raw_Data!D:D)</f>
        <v>6.8899999999999988</v>
      </c>
      <c r="O3" t="str">
        <f t="shared" si="0"/>
        <v>Low Solar</v>
      </c>
    </row>
    <row r="4" spans="1:16">
      <c r="A4" t="s">
        <v>22</v>
      </c>
      <c r="B4">
        <v>23.3</v>
      </c>
      <c r="C4">
        <v>4428</v>
      </c>
      <c r="D4">
        <v>5.6</v>
      </c>
      <c r="E4" t="s">
        <v>23</v>
      </c>
      <c r="F4">
        <v>37</v>
      </c>
      <c r="G4">
        <v>83</v>
      </c>
      <c r="H4">
        <v>7</v>
      </c>
      <c r="I4">
        <v>22.5</v>
      </c>
      <c r="J4" t="s">
        <v>18</v>
      </c>
      <c r="K4">
        <v>5.4</v>
      </c>
      <c r="L4">
        <v>65.2</v>
      </c>
      <c r="M4" t="s">
        <v>17</v>
      </c>
      <c r="N4">
        <f>AVERAGEIF(Raw_Data!A:A, Raw_Data!A4, Raw_Data!D:D)</f>
        <v>7.0051282051282051</v>
      </c>
      <c r="O4" t="str">
        <f t="shared" si="0"/>
        <v>High Solar</v>
      </c>
    </row>
    <row r="5" spans="1:16">
      <c r="A5" t="s">
        <v>24</v>
      </c>
      <c r="B5">
        <v>21</v>
      </c>
      <c r="C5">
        <v>4183</v>
      </c>
      <c r="D5">
        <v>9.6999999999999993</v>
      </c>
      <c r="E5" t="s">
        <v>23</v>
      </c>
      <c r="F5">
        <v>38</v>
      </c>
      <c r="G5">
        <v>74</v>
      </c>
      <c r="H5">
        <v>9</v>
      </c>
      <c r="I5">
        <v>24</v>
      </c>
      <c r="J5" t="s">
        <v>17</v>
      </c>
      <c r="K5">
        <v>8.5</v>
      </c>
      <c r="L5">
        <v>101.9</v>
      </c>
      <c r="M5" t="s">
        <v>17</v>
      </c>
      <c r="N5">
        <f>AVERAGEIF(Raw_Data!A:A, Raw_Data!A5, Raw_Data!D:D)</f>
        <v>7.0352941176470587</v>
      </c>
      <c r="O5" t="str">
        <f t="shared" si="0"/>
        <v>High Solar</v>
      </c>
    </row>
    <row r="6" spans="1:16">
      <c r="A6" t="s">
        <v>25</v>
      </c>
      <c r="B6">
        <v>3.7</v>
      </c>
      <c r="C6">
        <v>694</v>
      </c>
      <c r="D6">
        <v>6.3</v>
      </c>
      <c r="E6" t="s">
        <v>20</v>
      </c>
      <c r="F6">
        <v>35</v>
      </c>
      <c r="G6">
        <v>63</v>
      </c>
      <c r="H6">
        <v>4</v>
      </c>
      <c r="I6">
        <v>39.5</v>
      </c>
      <c r="J6" t="s">
        <v>17</v>
      </c>
      <c r="K6">
        <v>1</v>
      </c>
      <c r="L6">
        <v>11.7</v>
      </c>
      <c r="M6" t="s">
        <v>18</v>
      </c>
      <c r="N6">
        <f>AVERAGEIF(Raw_Data!A:A, Raw_Data!A6, Raw_Data!D:D)</f>
        <v>7.0823529411764703</v>
      </c>
      <c r="O6" t="str">
        <f t="shared" si="0"/>
        <v>Medium Solar</v>
      </c>
    </row>
    <row r="7" spans="1:16">
      <c r="A7" t="s">
        <v>26</v>
      </c>
      <c r="B7">
        <v>19.399999999999999</v>
      </c>
      <c r="C7">
        <v>4982</v>
      </c>
      <c r="D7">
        <v>7</v>
      </c>
      <c r="E7" t="s">
        <v>20</v>
      </c>
      <c r="F7">
        <v>33</v>
      </c>
      <c r="G7">
        <v>74</v>
      </c>
      <c r="H7">
        <v>9</v>
      </c>
      <c r="I7">
        <v>21</v>
      </c>
      <c r="J7" t="s">
        <v>17</v>
      </c>
      <c r="K7">
        <v>5.7</v>
      </c>
      <c r="L7">
        <v>67.900000000000006</v>
      </c>
      <c r="M7" t="s">
        <v>17</v>
      </c>
      <c r="N7">
        <f>AVERAGEIF(Raw_Data!A:A, Raw_Data!A7, Raw_Data!D:D)</f>
        <v>6.9771428571428586</v>
      </c>
      <c r="O7" t="str">
        <f t="shared" si="0"/>
        <v>High Solar</v>
      </c>
    </row>
    <row r="8" spans="1:16">
      <c r="A8" t="s">
        <v>15</v>
      </c>
      <c r="B8">
        <v>5.9</v>
      </c>
      <c r="C8">
        <v>1372</v>
      </c>
      <c r="D8">
        <v>7.1</v>
      </c>
      <c r="E8" t="s">
        <v>16</v>
      </c>
      <c r="F8">
        <v>27</v>
      </c>
      <c r="G8">
        <v>54</v>
      </c>
      <c r="H8">
        <v>6</v>
      </c>
      <c r="I8">
        <v>33</v>
      </c>
      <c r="J8" t="s">
        <v>17</v>
      </c>
      <c r="K8">
        <v>1.7</v>
      </c>
      <c r="L8">
        <v>20.9</v>
      </c>
      <c r="M8" t="s">
        <v>18</v>
      </c>
      <c r="N8">
        <f>AVERAGEIF(Raw_Data!A:A, Raw_Data!A8, Raw_Data!D:D)</f>
        <v>7.1264705882352937</v>
      </c>
      <c r="O8" t="str">
        <f t="shared" si="0"/>
        <v>Medium Solar</v>
      </c>
    </row>
    <row r="9" spans="1:16">
      <c r="A9" t="s">
        <v>24</v>
      </c>
      <c r="B9">
        <v>1.5</v>
      </c>
      <c r="C9">
        <v>800</v>
      </c>
      <c r="D9">
        <v>9.6</v>
      </c>
      <c r="E9" t="s">
        <v>16</v>
      </c>
      <c r="F9">
        <v>37</v>
      </c>
      <c r="G9">
        <v>92</v>
      </c>
      <c r="H9">
        <v>5</v>
      </c>
      <c r="I9">
        <v>24</v>
      </c>
      <c r="J9" t="s">
        <v>17</v>
      </c>
      <c r="K9">
        <v>0.6</v>
      </c>
      <c r="L9">
        <v>7.2</v>
      </c>
      <c r="M9" t="s">
        <v>18</v>
      </c>
      <c r="N9">
        <f>AVERAGEIF(Raw_Data!A:A, Raw_Data!A9, Raw_Data!D:D)</f>
        <v>7.0352941176470587</v>
      </c>
      <c r="O9" t="str">
        <f t="shared" si="0"/>
        <v>High Solar</v>
      </c>
    </row>
    <row r="10" spans="1:16">
      <c r="A10" t="s">
        <v>25</v>
      </c>
      <c r="B10">
        <v>10.7</v>
      </c>
      <c r="C10">
        <v>4761</v>
      </c>
      <c r="D10">
        <v>7.5</v>
      </c>
      <c r="E10" t="s">
        <v>20</v>
      </c>
      <c r="F10">
        <v>30</v>
      </c>
      <c r="G10">
        <v>60</v>
      </c>
      <c r="H10">
        <v>6</v>
      </c>
      <c r="I10">
        <v>36</v>
      </c>
      <c r="J10" t="s">
        <v>17</v>
      </c>
      <c r="K10">
        <v>3.3</v>
      </c>
      <c r="L10">
        <v>40.1</v>
      </c>
      <c r="M10" t="s">
        <v>18</v>
      </c>
      <c r="N10">
        <f>AVERAGEIF(Raw_Data!A:A, Raw_Data!A10, Raw_Data!D:D)</f>
        <v>7.0823529411764703</v>
      </c>
      <c r="O10" t="str">
        <f t="shared" si="0"/>
        <v>Medium Solar</v>
      </c>
    </row>
    <row r="11" spans="1:16">
      <c r="A11" t="s">
        <v>27</v>
      </c>
      <c r="B11">
        <v>9</v>
      </c>
      <c r="C11">
        <v>831</v>
      </c>
      <c r="D11">
        <v>7.2</v>
      </c>
      <c r="E11" t="s">
        <v>16</v>
      </c>
      <c r="F11">
        <v>28</v>
      </c>
      <c r="G11">
        <v>31</v>
      </c>
      <c r="H11">
        <v>4</v>
      </c>
      <c r="I11">
        <v>54.5</v>
      </c>
      <c r="J11" t="s">
        <v>17</v>
      </c>
      <c r="K11">
        <v>2.7</v>
      </c>
      <c r="L11">
        <v>32.4</v>
      </c>
      <c r="M11" t="s">
        <v>21</v>
      </c>
      <c r="N11">
        <f>AVERAGEIF(Raw_Data!A:A, Raw_Data!A11, Raw_Data!D:D)</f>
        <v>6.8347826086956527</v>
      </c>
      <c r="O11" t="str">
        <f t="shared" si="0"/>
        <v>Low Solar</v>
      </c>
    </row>
    <row r="12" spans="1:16">
      <c r="A12" t="s">
        <v>15</v>
      </c>
      <c r="B12">
        <v>1.5</v>
      </c>
      <c r="C12">
        <v>434</v>
      </c>
      <c r="D12">
        <v>9.3000000000000007</v>
      </c>
      <c r="E12" t="s">
        <v>28</v>
      </c>
      <c r="F12">
        <v>42</v>
      </c>
      <c r="G12">
        <v>80</v>
      </c>
      <c r="H12">
        <v>5</v>
      </c>
      <c r="I12">
        <v>25</v>
      </c>
      <c r="J12" t="s">
        <v>17</v>
      </c>
      <c r="K12">
        <v>0.6</v>
      </c>
      <c r="L12">
        <v>7</v>
      </c>
      <c r="M12" t="s">
        <v>18</v>
      </c>
      <c r="N12">
        <f>AVERAGEIF(Raw_Data!A:A, Raw_Data!A12, Raw_Data!D:D)</f>
        <v>7.1264705882352937</v>
      </c>
      <c r="O12" t="str">
        <f t="shared" si="0"/>
        <v>High Solar</v>
      </c>
    </row>
    <row r="13" spans="1:16">
      <c r="A13" t="s">
        <v>26</v>
      </c>
      <c r="B13">
        <v>13.9</v>
      </c>
      <c r="C13">
        <v>4584</v>
      </c>
      <c r="D13">
        <v>4.7</v>
      </c>
      <c r="E13" t="s">
        <v>23</v>
      </c>
      <c r="F13">
        <v>31</v>
      </c>
      <c r="G13">
        <v>79</v>
      </c>
      <c r="H13">
        <v>6</v>
      </c>
      <c r="I13">
        <v>18.5</v>
      </c>
      <c r="J13" t="s">
        <v>18</v>
      </c>
      <c r="K13">
        <v>2.7</v>
      </c>
      <c r="L13">
        <v>32.700000000000003</v>
      </c>
      <c r="M13" t="s">
        <v>17</v>
      </c>
      <c r="N13">
        <f>AVERAGEIF(Raw_Data!A:A, Raw_Data!A13, Raw_Data!D:D)</f>
        <v>6.9771428571428586</v>
      </c>
      <c r="O13" t="str">
        <f t="shared" si="0"/>
        <v>High Solar</v>
      </c>
    </row>
    <row r="14" spans="1:16">
      <c r="A14" t="s">
        <v>24</v>
      </c>
      <c r="B14">
        <v>8.6</v>
      </c>
      <c r="C14">
        <v>1641</v>
      </c>
      <c r="D14">
        <v>8.6999999999999993</v>
      </c>
      <c r="E14" t="s">
        <v>20</v>
      </c>
      <c r="F14">
        <v>38</v>
      </c>
      <c r="G14">
        <v>91</v>
      </c>
      <c r="H14">
        <v>6</v>
      </c>
      <c r="I14">
        <v>22.5</v>
      </c>
      <c r="J14" t="s">
        <v>17</v>
      </c>
      <c r="K14">
        <v>3.1</v>
      </c>
      <c r="L14">
        <v>37.4</v>
      </c>
      <c r="M14" t="s">
        <v>17</v>
      </c>
      <c r="N14">
        <f>AVERAGEIF(Raw_Data!A:A, Raw_Data!A14, Raw_Data!D:D)</f>
        <v>7.0352941176470587</v>
      </c>
      <c r="O14" t="str">
        <f t="shared" si="0"/>
        <v>High Solar</v>
      </c>
    </row>
    <row r="15" spans="1:16">
      <c r="A15" t="s">
        <v>24</v>
      </c>
      <c r="B15">
        <v>8.4</v>
      </c>
      <c r="C15">
        <v>1898</v>
      </c>
      <c r="D15">
        <v>8</v>
      </c>
      <c r="E15" t="s">
        <v>28</v>
      </c>
      <c r="F15">
        <v>33</v>
      </c>
      <c r="G15">
        <v>75</v>
      </c>
      <c r="H15">
        <v>5</v>
      </c>
      <c r="I15">
        <v>26.5</v>
      </c>
      <c r="J15" t="s">
        <v>17</v>
      </c>
      <c r="K15">
        <v>2.8</v>
      </c>
      <c r="L15">
        <v>33.6</v>
      </c>
      <c r="M15" t="s">
        <v>18</v>
      </c>
      <c r="N15">
        <f>AVERAGEIF(Raw_Data!A:A, Raw_Data!A15, Raw_Data!D:D)</f>
        <v>7.0352941176470587</v>
      </c>
      <c r="O15" t="str">
        <f t="shared" si="0"/>
        <v>High Solar</v>
      </c>
    </row>
    <row r="16" spans="1:16">
      <c r="A16" t="s">
        <v>26</v>
      </c>
      <c r="B16">
        <v>20.8</v>
      </c>
      <c r="C16">
        <v>4347</v>
      </c>
      <c r="D16">
        <v>7.5</v>
      </c>
      <c r="E16" t="s">
        <v>20</v>
      </c>
      <c r="F16">
        <v>30</v>
      </c>
      <c r="G16">
        <v>49</v>
      </c>
      <c r="H16">
        <v>7</v>
      </c>
      <c r="I16">
        <v>31.5</v>
      </c>
      <c r="J16" t="s">
        <v>17</v>
      </c>
      <c r="K16">
        <v>6.5</v>
      </c>
      <c r="L16">
        <v>78</v>
      </c>
      <c r="M16" t="s">
        <v>21</v>
      </c>
      <c r="N16">
        <f>AVERAGEIF(Raw_Data!A:A, Raw_Data!A16, Raw_Data!D:D)</f>
        <v>6.9771428571428586</v>
      </c>
      <c r="O16" t="str">
        <f t="shared" si="0"/>
        <v>Low Solar</v>
      </c>
    </row>
    <row r="17" spans="1:15">
      <c r="A17" t="s">
        <v>29</v>
      </c>
      <c r="B17">
        <v>6.8</v>
      </c>
      <c r="C17">
        <v>913</v>
      </c>
      <c r="D17">
        <v>5</v>
      </c>
      <c r="E17" t="s">
        <v>20</v>
      </c>
      <c r="F17">
        <v>33</v>
      </c>
      <c r="G17">
        <v>71</v>
      </c>
      <c r="H17">
        <v>5</v>
      </c>
      <c r="I17">
        <v>31.5</v>
      </c>
      <c r="J17" t="s">
        <v>18</v>
      </c>
      <c r="K17">
        <v>1.4</v>
      </c>
      <c r="L17">
        <v>17</v>
      </c>
      <c r="M17" t="s">
        <v>18</v>
      </c>
      <c r="N17">
        <f>AVERAGEIF(Raw_Data!A:A, Raw_Data!A17, Raw_Data!D:D)</f>
        <v>7.0571428571428561</v>
      </c>
      <c r="O17" t="str">
        <f t="shared" si="0"/>
        <v>High Solar</v>
      </c>
    </row>
    <row r="18" spans="1:15">
      <c r="A18" t="s">
        <v>30</v>
      </c>
      <c r="B18">
        <v>21.4</v>
      </c>
      <c r="C18">
        <v>2920</v>
      </c>
      <c r="D18">
        <v>6.8</v>
      </c>
      <c r="E18" t="s">
        <v>20</v>
      </c>
      <c r="F18">
        <v>32</v>
      </c>
      <c r="G18">
        <v>57</v>
      </c>
      <c r="H18">
        <v>6</v>
      </c>
      <c r="I18">
        <v>33.5</v>
      </c>
      <c r="J18" t="s">
        <v>17</v>
      </c>
      <c r="K18">
        <v>6.1</v>
      </c>
      <c r="L18">
        <v>72.8</v>
      </c>
      <c r="M18" t="s">
        <v>18</v>
      </c>
      <c r="N18">
        <f>AVERAGEIF(Raw_Data!A:A, Raw_Data!A18, Raw_Data!D:D)</f>
        <v>7</v>
      </c>
      <c r="O18" t="str">
        <f t="shared" si="0"/>
        <v>Medium Solar</v>
      </c>
    </row>
    <row r="19" spans="1:15">
      <c r="A19" t="s">
        <v>22</v>
      </c>
      <c r="B19">
        <v>9.1</v>
      </c>
      <c r="C19">
        <v>1178</v>
      </c>
      <c r="D19">
        <v>7.1</v>
      </c>
      <c r="E19" t="s">
        <v>16</v>
      </c>
      <c r="F19">
        <v>34</v>
      </c>
      <c r="G19">
        <v>54</v>
      </c>
      <c r="H19">
        <v>5</v>
      </c>
      <c r="I19">
        <v>37</v>
      </c>
      <c r="J19" t="s">
        <v>17</v>
      </c>
      <c r="K19">
        <v>2.7</v>
      </c>
      <c r="L19">
        <v>32.299999999999997</v>
      </c>
      <c r="M19" t="s">
        <v>18</v>
      </c>
      <c r="N19">
        <f>AVERAGEIF(Raw_Data!A:A, Raw_Data!A19, Raw_Data!D:D)</f>
        <v>7.0051282051282051</v>
      </c>
      <c r="O19" t="str">
        <f t="shared" si="0"/>
        <v>Medium Solar</v>
      </c>
    </row>
    <row r="20" spans="1:15">
      <c r="A20" t="s">
        <v>31</v>
      </c>
      <c r="B20">
        <v>2.1</v>
      </c>
      <c r="C20">
        <v>495</v>
      </c>
      <c r="D20">
        <v>6.6</v>
      </c>
      <c r="E20" t="s">
        <v>23</v>
      </c>
      <c r="F20">
        <v>37</v>
      </c>
      <c r="G20">
        <v>90</v>
      </c>
      <c r="H20">
        <v>4</v>
      </c>
      <c r="I20">
        <v>22</v>
      </c>
      <c r="J20" t="s">
        <v>17</v>
      </c>
      <c r="K20">
        <v>0.6</v>
      </c>
      <c r="L20">
        <v>6.9</v>
      </c>
      <c r="M20" t="s">
        <v>18</v>
      </c>
      <c r="N20">
        <f>AVERAGEIF(Raw_Data!A:A, Raw_Data!A20, Raw_Data!D:D)</f>
        <v>6.5849999999999991</v>
      </c>
      <c r="O20" t="str">
        <f t="shared" si="0"/>
        <v>High Solar</v>
      </c>
    </row>
    <row r="21" spans="1:15">
      <c r="A21" t="s">
        <v>24</v>
      </c>
      <c r="B21">
        <v>15.5</v>
      </c>
      <c r="C21">
        <v>3974</v>
      </c>
      <c r="D21">
        <v>6.7</v>
      </c>
      <c r="E21" t="s">
        <v>20</v>
      </c>
      <c r="F21">
        <v>31</v>
      </c>
      <c r="G21">
        <v>67</v>
      </c>
      <c r="H21">
        <v>9</v>
      </c>
      <c r="I21">
        <v>27.5</v>
      </c>
      <c r="J21" t="s">
        <v>17</v>
      </c>
      <c r="K21">
        <v>4.3</v>
      </c>
      <c r="L21">
        <v>51.9</v>
      </c>
      <c r="M21" t="s">
        <v>18</v>
      </c>
      <c r="N21">
        <f>AVERAGEIF(Raw_Data!A:A, Raw_Data!A21, Raw_Data!D:D)</f>
        <v>7.0352941176470587</v>
      </c>
      <c r="O21" t="str">
        <f t="shared" si="0"/>
        <v>Medium Solar</v>
      </c>
    </row>
    <row r="22" spans="1:15">
      <c r="A22" t="s">
        <v>25</v>
      </c>
      <c r="B22">
        <v>24.2</v>
      </c>
      <c r="C22">
        <v>4104</v>
      </c>
      <c r="D22">
        <v>10.8</v>
      </c>
      <c r="E22" t="s">
        <v>20</v>
      </c>
      <c r="F22">
        <v>45</v>
      </c>
      <c r="G22">
        <v>81</v>
      </c>
      <c r="H22">
        <v>8</v>
      </c>
      <c r="I22">
        <v>15.5</v>
      </c>
      <c r="J22" t="s">
        <v>32</v>
      </c>
      <c r="K22">
        <v>10.9</v>
      </c>
      <c r="L22">
        <v>130.69999999999999</v>
      </c>
      <c r="M22" t="s">
        <v>17</v>
      </c>
      <c r="N22">
        <f>AVERAGEIF(Raw_Data!A:A, Raw_Data!A22, Raw_Data!D:D)</f>
        <v>7.0823529411764703</v>
      </c>
      <c r="O22" t="str">
        <f t="shared" si="0"/>
        <v>High Solar</v>
      </c>
    </row>
    <row r="23" spans="1:15">
      <c r="A23" t="s">
        <v>33</v>
      </c>
      <c r="B23">
        <v>24.1</v>
      </c>
      <c r="C23">
        <v>3597</v>
      </c>
      <c r="D23">
        <v>7.3</v>
      </c>
      <c r="E23" t="s">
        <v>20</v>
      </c>
      <c r="F23">
        <v>42</v>
      </c>
      <c r="G23">
        <v>77</v>
      </c>
      <c r="H23">
        <v>6</v>
      </c>
      <c r="I23">
        <v>22.5</v>
      </c>
      <c r="J23" t="s">
        <v>17</v>
      </c>
      <c r="K23">
        <v>7.3</v>
      </c>
      <c r="L23">
        <v>88</v>
      </c>
      <c r="M23" t="s">
        <v>17</v>
      </c>
      <c r="N23">
        <f>AVERAGEIF(Raw_Data!A:A, Raw_Data!A23, Raw_Data!D:D)</f>
        <v>7.1129032258064528</v>
      </c>
      <c r="O23" t="str">
        <f t="shared" si="0"/>
        <v>High Solar</v>
      </c>
    </row>
    <row r="24" spans="1:15">
      <c r="A24" t="s">
        <v>15</v>
      </c>
      <c r="B24">
        <v>5.5</v>
      </c>
      <c r="C24">
        <v>1242</v>
      </c>
      <c r="D24">
        <v>10.3</v>
      </c>
      <c r="E24" t="s">
        <v>23</v>
      </c>
      <c r="F24">
        <v>42</v>
      </c>
      <c r="G24">
        <v>78</v>
      </c>
      <c r="H24">
        <v>4</v>
      </c>
      <c r="I24">
        <v>28</v>
      </c>
      <c r="J24" t="s">
        <v>32</v>
      </c>
      <c r="K24">
        <v>2.4</v>
      </c>
      <c r="L24">
        <v>28.3</v>
      </c>
      <c r="M24" t="s">
        <v>18</v>
      </c>
      <c r="N24">
        <f>AVERAGEIF(Raw_Data!A:A, Raw_Data!A24, Raw_Data!D:D)</f>
        <v>7.1264705882352937</v>
      </c>
      <c r="O24" t="str">
        <f t="shared" si="0"/>
        <v>High Solar</v>
      </c>
    </row>
    <row r="25" spans="1:15">
      <c r="A25" t="s">
        <v>34</v>
      </c>
      <c r="B25">
        <v>3.3</v>
      </c>
      <c r="C25">
        <v>435</v>
      </c>
      <c r="D25">
        <v>8.1999999999999993</v>
      </c>
      <c r="E25" t="s">
        <v>20</v>
      </c>
      <c r="F25">
        <v>28</v>
      </c>
      <c r="G25">
        <v>41</v>
      </c>
      <c r="H25">
        <v>3</v>
      </c>
      <c r="I25">
        <v>46.5</v>
      </c>
      <c r="J25" t="s">
        <v>17</v>
      </c>
      <c r="K25">
        <v>1.1000000000000001</v>
      </c>
      <c r="L25">
        <v>13.5</v>
      </c>
      <c r="M25" t="s">
        <v>21</v>
      </c>
      <c r="N25">
        <f>AVERAGEIF(Raw_Data!A:A, Raw_Data!A25, Raw_Data!D:D)</f>
        <v>7.4411764705882346</v>
      </c>
      <c r="O25" t="str">
        <f t="shared" si="0"/>
        <v>Low Solar</v>
      </c>
    </row>
    <row r="26" spans="1:15">
      <c r="A26" t="s">
        <v>27</v>
      </c>
      <c r="B26">
        <v>7.5</v>
      </c>
      <c r="C26">
        <v>968</v>
      </c>
      <c r="D26">
        <v>8.1</v>
      </c>
      <c r="E26" t="s">
        <v>28</v>
      </c>
      <c r="F26">
        <v>34</v>
      </c>
      <c r="G26">
        <v>72</v>
      </c>
      <c r="H26">
        <v>6</v>
      </c>
      <c r="I26">
        <v>28</v>
      </c>
      <c r="J26" t="s">
        <v>17</v>
      </c>
      <c r="K26">
        <v>2.5</v>
      </c>
      <c r="L26">
        <v>30.4</v>
      </c>
      <c r="M26" t="s">
        <v>17</v>
      </c>
      <c r="N26">
        <f>AVERAGEIF(Raw_Data!A:A, Raw_Data!A26, Raw_Data!D:D)</f>
        <v>6.8347826086956527</v>
      </c>
      <c r="O26" t="str">
        <f t="shared" si="0"/>
        <v>High Solar</v>
      </c>
    </row>
    <row r="27" spans="1:15">
      <c r="A27" t="s">
        <v>30</v>
      </c>
      <c r="B27">
        <v>5.3</v>
      </c>
      <c r="C27">
        <v>1957</v>
      </c>
      <c r="D27">
        <v>7.1</v>
      </c>
      <c r="E27" t="s">
        <v>20</v>
      </c>
      <c r="F27">
        <v>27</v>
      </c>
      <c r="G27">
        <v>52</v>
      </c>
      <c r="H27">
        <v>5</v>
      </c>
      <c r="I27">
        <v>44</v>
      </c>
      <c r="J27" t="s">
        <v>17</v>
      </c>
      <c r="K27">
        <v>1.6</v>
      </c>
      <c r="L27">
        <v>18.8</v>
      </c>
      <c r="M27" t="s">
        <v>18</v>
      </c>
      <c r="N27">
        <f>AVERAGEIF(Raw_Data!A:A, Raw_Data!A27, Raw_Data!D:D)</f>
        <v>7</v>
      </c>
      <c r="O27" t="str">
        <f t="shared" si="0"/>
        <v>Medium Solar</v>
      </c>
    </row>
    <row r="28" spans="1:15">
      <c r="A28" t="s">
        <v>15</v>
      </c>
      <c r="B28">
        <v>5.9</v>
      </c>
      <c r="C28">
        <v>1008</v>
      </c>
      <c r="D28">
        <v>7.5</v>
      </c>
      <c r="E28" t="s">
        <v>20</v>
      </c>
      <c r="F28">
        <v>30</v>
      </c>
      <c r="G28">
        <v>35</v>
      </c>
      <c r="H28">
        <v>4</v>
      </c>
      <c r="I28">
        <v>54.5</v>
      </c>
      <c r="J28" t="s">
        <v>17</v>
      </c>
      <c r="K28">
        <v>1.8</v>
      </c>
      <c r="L28">
        <v>22.1</v>
      </c>
      <c r="M28" t="s">
        <v>21</v>
      </c>
      <c r="N28">
        <f>AVERAGEIF(Raw_Data!A:A, Raw_Data!A28, Raw_Data!D:D)</f>
        <v>7.1264705882352937</v>
      </c>
      <c r="O28" t="str">
        <f t="shared" si="0"/>
        <v>Low Solar</v>
      </c>
    </row>
    <row r="29" spans="1:15">
      <c r="A29" t="s">
        <v>27</v>
      </c>
      <c r="B29">
        <v>5.7</v>
      </c>
      <c r="C29">
        <v>1727</v>
      </c>
      <c r="D29">
        <v>5.0999999999999996</v>
      </c>
      <c r="E29" t="s">
        <v>16</v>
      </c>
      <c r="F29">
        <v>27</v>
      </c>
      <c r="G29">
        <v>41</v>
      </c>
      <c r="H29">
        <v>6</v>
      </c>
      <c r="I29">
        <v>42.5</v>
      </c>
      <c r="J29" t="s">
        <v>18</v>
      </c>
      <c r="K29">
        <v>1.2</v>
      </c>
      <c r="L29">
        <v>14.5</v>
      </c>
      <c r="M29" t="s">
        <v>21</v>
      </c>
      <c r="N29">
        <f>AVERAGEIF(Raw_Data!A:A, Raw_Data!A29, Raw_Data!D:D)</f>
        <v>6.8347826086956527</v>
      </c>
      <c r="O29" t="str">
        <f t="shared" si="0"/>
        <v>Low Solar</v>
      </c>
    </row>
    <row r="30" spans="1:15">
      <c r="A30" t="s">
        <v>35</v>
      </c>
      <c r="B30">
        <v>21.5</v>
      </c>
      <c r="C30">
        <v>4533</v>
      </c>
      <c r="D30">
        <v>5.8</v>
      </c>
      <c r="E30" t="s">
        <v>20</v>
      </c>
      <c r="F30">
        <v>25</v>
      </c>
      <c r="G30">
        <v>44</v>
      </c>
      <c r="H30">
        <v>6</v>
      </c>
      <c r="I30">
        <v>44</v>
      </c>
      <c r="J30" t="s">
        <v>18</v>
      </c>
      <c r="K30">
        <v>5.2</v>
      </c>
      <c r="L30">
        <v>62.4</v>
      </c>
      <c r="M30" t="s">
        <v>21</v>
      </c>
      <c r="N30">
        <f>AVERAGEIF(Raw_Data!A:A, Raw_Data!A30, Raw_Data!D:D)</f>
        <v>7.4206896551724144</v>
      </c>
      <c r="O30" t="str">
        <f t="shared" si="0"/>
        <v>Low Solar</v>
      </c>
    </row>
    <row r="31" spans="1:15">
      <c r="A31" t="s">
        <v>31</v>
      </c>
      <c r="B31">
        <v>4.5999999999999996</v>
      </c>
      <c r="C31">
        <v>213</v>
      </c>
      <c r="D31">
        <v>7.2</v>
      </c>
      <c r="E31" t="s">
        <v>23</v>
      </c>
      <c r="F31">
        <v>28</v>
      </c>
      <c r="G31">
        <v>56</v>
      </c>
      <c r="H31">
        <v>2</v>
      </c>
      <c r="I31">
        <v>48</v>
      </c>
      <c r="J31" t="s">
        <v>17</v>
      </c>
      <c r="K31">
        <v>1.4</v>
      </c>
      <c r="L31">
        <v>16.600000000000001</v>
      </c>
      <c r="M31" t="s">
        <v>18</v>
      </c>
      <c r="N31">
        <f>AVERAGEIF(Raw_Data!A:A, Raw_Data!A31, Raw_Data!D:D)</f>
        <v>6.5849999999999991</v>
      </c>
      <c r="O31" t="str">
        <f t="shared" si="0"/>
        <v>Medium Solar</v>
      </c>
    </row>
    <row r="32" spans="1:15">
      <c r="A32" t="s">
        <v>36</v>
      </c>
      <c r="B32">
        <v>11.4</v>
      </c>
      <c r="C32">
        <v>2300</v>
      </c>
      <c r="D32">
        <v>7.7</v>
      </c>
      <c r="E32" t="s">
        <v>20</v>
      </c>
      <c r="F32">
        <v>38</v>
      </c>
      <c r="G32">
        <v>72</v>
      </c>
      <c r="H32">
        <v>7</v>
      </c>
      <c r="I32">
        <v>30</v>
      </c>
      <c r="J32" t="s">
        <v>17</v>
      </c>
      <c r="K32">
        <v>3.7</v>
      </c>
      <c r="L32">
        <v>43.9</v>
      </c>
      <c r="M32" t="s">
        <v>17</v>
      </c>
      <c r="N32">
        <f>AVERAGEIF(Raw_Data!A:A, Raw_Data!A32, Raw_Data!D:D)</f>
        <v>7.5260869565217385</v>
      </c>
      <c r="O32" t="str">
        <f t="shared" si="0"/>
        <v>High Solar</v>
      </c>
    </row>
    <row r="33" spans="1:15">
      <c r="A33" t="s">
        <v>35</v>
      </c>
      <c r="B33">
        <v>14</v>
      </c>
      <c r="C33">
        <v>4971</v>
      </c>
      <c r="D33">
        <v>4.8</v>
      </c>
      <c r="E33" t="s">
        <v>23</v>
      </c>
      <c r="F33">
        <v>32</v>
      </c>
      <c r="G33">
        <v>50</v>
      </c>
      <c r="H33">
        <v>6</v>
      </c>
      <c r="I33">
        <v>40</v>
      </c>
      <c r="J33" t="s">
        <v>18</v>
      </c>
      <c r="K33">
        <v>2.8</v>
      </c>
      <c r="L33">
        <v>33.6</v>
      </c>
      <c r="M33" t="s">
        <v>21</v>
      </c>
      <c r="N33">
        <f>AVERAGEIF(Raw_Data!A:A, Raw_Data!A33, Raw_Data!D:D)</f>
        <v>7.4206896551724144</v>
      </c>
      <c r="O33" t="str">
        <f t="shared" si="0"/>
        <v>Medium Solar</v>
      </c>
    </row>
    <row r="34" spans="1:15">
      <c r="A34" t="s">
        <v>31</v>
      </c>
      <c r="B34">
        <v>23.2</v>
      </c>
      <c r="C34">
        <v>3116</v>
      </c>
      <c r="D34">
        <v>7.8</v>
      </c>
      <c r="E34" t="s">
        <v>20</v>
      </c>
      <c r="F34">
        <v>45</v>
      </c>
      <c r="G34">
        <v>86</v>
      </c>
      <c r="H34">
        <v>9</v>
      </c>
      <c r="I34">
        <v>11</v>
      </c>
      <c r="J34" t="s">
        <v>17</v>
      </c>
      <c r="K34">
        <v>7.5</v>
      </c>
      <c r="L34">
        <v>90.5</v>
      </c>
      <c r="M34" t="s">
        <v>17</v>
      </c>
      <c r="N34">
        <f>AVERAGEIF(Raw_Data!A:A, Raw_Data!A34, Raw_Data!D:D)</f>
        <v>6.5849999999999991</v>
      </c>
      <c r="O34" t="str">
        <f t="shared" si="0"/>
        <v>High Solar</v>
      </c>
    </row>
    <row r="35" spans="1:15">
      <c r="A35" t="s">
        <v>27</v>
      </c>
      <c r="B35">
        <v>10.1</v>
      </c>
      <c r="C35">
        <v>2366</v>
      </c>
      <c r="D35">
        <v>8.6999999999999993</v>
      </c>
      <c r="E35" t="s">
        <v>20</v>
      </c>
      <c r="F35">
        <v>31</v>
      </c>
      <c r="G35">
        <v>79</v>
      </c>
      <c r="H35">
        <v>9</v>
      </c>
      <c r="I35">
        <v>13.5</v>
      </c>
      <c r="J35" t="s">
        <v>17</v>
      </c>
      <c r="K35">
        <v>3.7</v>
      </c>
      <c r="L35">
        <v>43.9</v>
      </c>
      <c r="M35" t="s">
        <v>17</v>
      </c>
      <c r="N35">
        <f>AVERAGEIF(Raw_Data!A:A, Raw_Data!A35, Raw_Data!D:D)</f>
        <v>6.8347826086956527</v>
      </c>
      <c r="O35" t="str">
        <f t="shared" si="0"/>
        <v>High Solar</v>
      </c>
    </row>
    <row r="36" spans="1:15">
      <c r="A36" t="s">
        <v>31</v>
      </c>
      <c r="B36">
        <v>23.1</v>
      </c>
      <c r="C36">
        <v>4046</v>
      </c>
      <c r="D36">
        <v>6.8</v>
      </c>
      <c r="E36" t="s">
        <v>20</v>
      </c>
      <c r="F36">
        <v>32</v>
      </c>
      <c r="G36">
        <v>69</v>
      </c>
      <c r="H36">
        <v>8</v>
      </c>
      <c r="I36">
        <v>26.5</v>
      </c>
      <c r="J36" t="s">
        <v>17</v>
      </c>
      <c r="K36">
        <v>6.5</v>
      </c>
      <c r="L36">
        <v>78.5</v>
      </c>
      <c r="M36" t="s">
        <v>18</v>
      </c>
      <c r="N36">
        <f>AVERAGEIF(Raw_Data!A:A, Raw_Data!A36, Raw_Data!D:D)</f>
        <v>6.5849999999999991</v>
      </c>
      <c r="O36" t="str">
        <f t="shared" si="0"/>
        <v>Medium Solar</v>
      </c>
    </row>
    <row r="37" spans="1:15">
      <c r="A37" t="s">
        <v>19</v>
      </c>
      <c r="B37">
        <v>21.8</v>
      </c>
      <c r="C37">
        <v>3054</v>
      </c>
      <c r="D37">
        <v>5.4</v>
      </c>
      <c r="E37" t="s">
        <v>20</v>
      </c>
      <c r="F37">
        <v>29</v>
      </c>
      <c r="G37">
        <v>43</v>
      </c>
      <c r="H37">
        <v>8</v>
      </c>
      <c r="I37">
        <v>32.5</v>
      </c>
      <c r="J37" t="s">
        <v>18</v>
      </c>
      <c r="K37">
        <v>4.9000000000000004</v>
      </c>
      <c r="L37">
        <v>58.9</v>
      </c>
      <c r="M37" t="s">
        <v>21</v>
      </c>
      <c r="N37">
        <f>AVERAGEIF(Raw_Data!A:A, Raw_Data!A37, Raw_Data!D:D)</f>
        <v>6.8899999999999988</v>
      </c>
      <c r="O37" t="str">
        <f t="shared" si="0"/>
        <v>Low Solar</v>
      </c>
    </row>
    <row r="38" spans="1:15">
      <c r="A38" t="s">
        <v>34</v>
      </c>
      <c r="B38">
        <v>10.8</v>
      </c>
      <c r="C38">
        <v>2931</v>
      </c>
      <c r="D38">
        <v>6.7</v>
      </c>
      <c r="E38" t="s">
        <v>16</v>
      </c>
      <c r="F38">
        <v>31</v>
      </c>
      <c r="G38">
        <v>63</v>
      </c>
      <c r="H38">
        <v>9</v>
      </c>
      <c r="I38">
        <v>25.5</v>
      </c>
      <c r="J38" t="s">
        <v>17</v>
      </c>
      <c r="K38">
        <v>3</v>
      </c>
      <c r="L38">
        <v>36.200000000000003</v>
      </c>
      <c r="M38" t="s">
        <v>18</v>
      </c>
      <c r="N38">
        <f>AVERAGEIF(Raw_Data!A:A, Raw_Data!A38, Raw_Data!D:D)</f>
        <v>7.4411764705882346</v>
      </c>
      <c r="O38" t="str">
        <f t="shared" si="0"/>
        <v>Medium Solar</v>
      </c>
    </row>
    <row r="39" spans="1:15">
      <c r="A39" t="s">
        <v>31</v>
      </c>
      <c r="B39">
        <v>5.6</v>
      </c>
      <c r="C39">
        <v>817</v>
      </c>
      <c r="D39">
        <v>7.1</v>
      </c>
      <c r="E39" t="s">
        <v>16</v>
      </c>
      <c r="F39">
        <v>27</v>
      </c>
      <c r="G39">
        <v>56</v>
      </c>
      <c r="H39">
        <v>4</v>
      </c>
      <c r="I39">
        <v>35</v>
      </c>
      <c r="J39" t="s">
        <v>17</v>
      </c>
      <c r="K39">
        <v>1.7</v>
      </c>
      <c r="L39">
        <v>19.899999999999999</v>
      </c>
      <c r="M39" t="s">
        <v>18</v>
      </c>
      <c r="N39">
        <f>AVERAGEIF(Raw_Data!A:A, Raw_Data!A39, Raw_Data!D:D)</f>
        <v>6.5849999999999991</v>
      </c>
      <c r="O39" t="str">
        <f t="shared" si="0"/>
        <v>Medium Solar</v>
      </c>
    </row>
    <row r="40" spans="1:15">
      <c r="A40" t="s">
        <v>27</v>
      </c>
      <c r="B40">
        <v>22.4</v>
      </c>
      <c r="C40">
        <v>4276</v>
      </c>
      <c r="D40">
        <v>5.0999999999999996</v>
      </c>
      <c r="E40" t="s">
        <v>16</v>
      </c>
      <c r="F40">
        <v>27</v>
      </c>
      <c r="G40">
        <v>48</v>
      </c>
      <c r="H40">
        <v>8</v>
      </c>
      <c r="I40">
        <v>33</v>
      </c>
      <c r="J40" t="s">
        <v>18</v>
      </c>
      <c r="K40">
        <v>4.8</v>
      </c>
      <c r="L40">
        <v>57.1</v>
      </c>
      <c r="M40" t="s">
        <v>21</v>
      </c>
      <c r="N40">
        <f>AVERAGEIF(Raw_Data!A:A, Raw_Data!A40, Raw_Data!D:D)</f>
        <v>6.8347826086956527</v>
      </c>
      <c r="O40" t="str">
        <f t="shared" si="0"/>
        <v>Low Solar</v>
      </c>
    </row>
    <row r="41" spans="1:15">
      <c r="A41" t="s">
        <v>27</v>
      </c>
      <c r="B41">
        <v>2.1</v>
      </c>
      <c r="C41">
        <v>482</v>
      </c>
      <c r="D41">
        <v>10</v>
      </c>
      <c r="E41" t="s">
        <v>16</v>
      </c>
      <c r="F41">
        <v>40</v>
      </c>
      <c r="G41">
        <v>71</v>
      </c>
      <c r="H41">
        <v>2</v>
      </c>
      <c r="I41">
        <v>38.5</v>
      </c>
      <c r="J41" t="s">
        <v>17</v>
      </c>
      <c r="K41">
        <v>0.9</v>
      </c>
      <c r="L41">
        <v>10.5</v>
      </c>
      <c r="M41" t="s">
        <v>18</v>
      </c>
      <c r="N41">
        <f>AVERAGEIF(Raw_Data!A:A, Raw_Data!A41, Raw_Data!D:D)</f>
        <v>6.8347826086956527</v>
      </c>
      <c r="O41" t="str">
        <f t="shared" si="0"/>
        <v>High Solar</v>
      </c>
    </row>
    <row r="42" spans="1:15">
      <c r="A42" t="s">
        <v>31</v>
      </c>
      <c r="B42">
        <v>1.1000000000000001</v>
      </c>
      <c r="C42">
        <v>298</v>
      </c>
      <c r="D42">
        <v>7.7</v>
      </c>
      <c r="E42" t="s">
        <v>23</v>
      </c>
      <c r="F42">
        <v>31</v>
      </c>
      <c r="G42">
        <v>76</v>
      </c>
      <c r="H42">
        <v>5</v>
      </c>
      <c r="I42">
        <v>29</v>
      </c>
      <c r="J42" t="s">
        <v>17</v>
      </c>
      <c r="K42">
        <v>0.4</v>
      </c>
      <c r="L42">
        <v>4.2</v>
      </c>
      <c r="M42" t="s">
        <v>18</v>
      </c>
      <c r="N42">
        <f>AVERAGEIF(Raw_Data!A:A, Raw_Data!A42, Raw_Data!D:D)</f>
        <v>6.5849999999999991</v>
      </c>
      <c r="O42" t="str">
        <f t="shared" si="0"/>
        <v>High Solar</v>
      </c>
    </row>
    <row r="43" spans="1:15">
      <c r="A43" t="s">
        <v>29</v>
      </c>
      <c r="B43">
        <v>9.3000000000000007</v>
      </c>
      <c r="C43">
        <v>1738</v>
      </c>
      <c r="D43">
        <v>8.1</v>
      </c>
      <c r="E43" t="s">
        <v>23</v>
      </c>
      <c r="F43">
        <v>27</v>
      </c>
      <c r="G43">
        <v>48</v>
      </c>
      <c r="H43">
        <v>4</v>
      </c>
      <c r="I43">
        <v>47</v>
      </c>
      <c r="J43" t="s">
        <v>17</v>
      </c>
      <c r="K43">
        <v>3.1</v>
      </c>
      <c r="L43">
        <v>37.700000000000003</v>
      </c>
      <c r="M43" t="s">
        <v>21</v>
      </c>
      <c r="N43">
        <f>AVERAGEIF(Raw_Data!A:A, Raw_Data!A43, Raw_Data!D:D)</f>
        <v>7.0571428571428561</v>
      </c>
      <c r="O43" t="str">
        <f t="shared" si="0"/>
        <v>Low Solar</v>
      </c>
    </row>
    <row r="44" spans="1:15">
      <c r="A44" t="s">
        <v>27</v>
      </c>
      <c r="B44">
        <v>10.8</v>
      </c>
      <c r="C44">
        <v>4550</v>
      </c>
      <c r="D44">
        <v>5.0999999999999996</v>
      </c>
      <c r="E44" t="s">
        <v>20</v>
      </c>
      <c r="F44">
        <v>27</v>
      </c>
      <c r="G44">
        <v>39</v>
      </c>
      <c r="H44">
        <v>7</v>
      </c>
      <c r="I44">
        <v>39.5</v>
      </c>
      <c r="J44" t="s">
        <v>18</v>
      </c>
      <c r="K44">
        <v>2.2999999999999998</v>
      </c>
      <c r="L44">
        <v>27.5</v>
      </c>
      <c r="M44" t="s">
        <v>21</v>
      </c>
      <c r="N44">
        <f>AVERAGEIF(Raw_Data!A:A, Raw_Data!A44, Raw_Data!D:D)</f>
        <v>6.8347826086956527</v>
      </c>
      <c r="O44" t="str">
        <f t="shared" si="0"/>
        <v>Low Solar</v>
      </c>
    </row>
    <row r="45" spans="1:15">
      <c r="A45" t="s">
        <v>33</v>
      </c>
      <c r="B45">
        <v>16.100000000000001</v>
      </c>
      <c r="C45">
        <v>2548</v>
      </c>
      <c r="D45">
        <v>4.8</v>
      </c>
      <c r="E45" t="s">
        <v>28</v>
      </c>
      <c r="F45">
        <v>32</v>
      </c>
      <c r="G45">
        <v>55</v>
      </c>
      <c r="H45">
        <v>6</v>
      </c>
      <c r="I45">
        <v>40.5</v>
      </c>
      <c r="J45" t="s">
        <v>18</v>
      </c>
      <c r="K45">
        <v>3.2</v>
      </c>
      <c r="L45">
        <v>38.6</v>
      </c>
      <c r="M45" t="s">
        <v>18</v>
      </c>
      <c r="N45">
        <f>AVERAGEIF(Raw_Data!A:A, Raw_Data!A45, Raw_Data!D:D)</f>
        <v>7.1129032258064528</v>
      </c>
      <c r="O45" t="str">
        <f t="shared" si="0"/>
        <v>Medium Solar</v>
      </c>
    </row>
    <row r="46" spans="1:15">
      <c r="A46" t="s">
        <v>31</v>
      </c>
      <c r="B46">
        <v>24.7</v>
      </c>
      <c r="C46">
        <v>3398</v>
      </c>
      <c r="D46">
        <v>6.2</v>
      </c>
      <c r="E46" t="s">
        <v>20</v>
      </c>
      <c r="F46">
        <v>28</v>
      </c>
      <c r="G46">
        <v>64</v>
      </c>
      <c r="H46">
        <v>7</v>
      </c>
      <c r="I46">
        <v>34</v>
      </c>
      <c r="J46" t="s">
        <v>17</v>
      </c>
      <c r="K46">
        <v>6.4</v>
      </c>
      <c r="L46">
        <v>76.599999999999994</v>
      </c>
      <c r="M46" t="s">
        <v>18</v>
      </c>
      <c r="N46">
        <f>AVERAGEIF(Raw_Data!A:A, Raw_Data!A46, Raw_Data!D:D)</f>
        <v>6.5849999999999991</v>
      </c>
      <c r="O46" t="str">
        <f t="shared" si="0"/>
        <v>Medium Solar</v>
      </c>
    </row>
    <row r="47" spans="1:15">
      <c r="A47" t="s">
        <v>31</v>
      </c>
      <c r="B47">
        <v>20.2</v>
      </c>
      <c r="C47">
        <v>4190</v>
      </c>
      <c r="D47">
        <v>4.8</v>
      </c>
      <c r="E47" t="s">
        <v>28</v>
      </c>
      <c r="F47">
        <v>32</v>
      </c>
      <c r="G47">
        <v>63</v>
      </c>
      <c r="H47">
        <v>8</v>
      </c>
      <c r="I47">
        <v>24.5</v>
      </c>
      <c r="J47" t="s">
        <v>18</v>
      </c>
      <c r="K47">
        <v>4</v>
      </c>
      <c r="L47">
        <v>48.5</v>
      </c>
      <c r="M47" t="s">
        <v>18</v>
      </c>
      <c r="N47">
        <f>AVERAGEIF(Raw_Data!A:A, Raw_Data!A47, Raw_Data!D:D)</f>
        <v>6.5849999999999991</v>
      </c>
      <c r="O47" t="str">
        <f t="shared" si="0"/>
        <v>Medium Solar</v>
      </c>
    </row>
    <row r="48" spans="1:15">
      <c r="A48" t="s">
        <v>24</v>
      </c>
      <c r="B48">
        <v>7.9</v>
      </c>
      <c r="C48">
        <v>1422</v>
      </c>
      <c r="D48">
        <v>5.7</v>
      </c>
      <c r="E48" t="s">
        <v>20</v>
      </c>
      <c r="F48">
        <v>31</v>
      </c>
      <c r="G48">
        <v>68</v>
      </c>
      <c r="H48">
        <v>4</v>
      </c>
      <c r="I48">
        <v>38</v>
      </c>
      <c r="J48" t="s">
        <v>18</v>
      </c>
      <c r="K48">
        <v>1.9</v>
      </c>
      <c r="L48">
        <v>22.5</v>
      </c>
      <c r="M48" t="s">
        <v>18</v>
      </c>
      <c r="N48">
        <f>AVERAGEIF(Raw_Data!A:A, Raw_Data!A48, Raw_Data!D:D)</f>
        <v>7.0352941176470587</v>
      </c>
      <c r="O48" t="str">
        <f t="shared" si="0"/>
        <v>Medium Solar</v>
      </c>
    </row>
    <row r="49" spans="1:15">
      <c r="A49" t="s">
        <v>37</v>
      </c>
      <c r="B49">
        <v>13.6</v>
      </c>
      <c r="C49">
        <v>4020</v>
      </c>
      <c r="D49">
        <v>9.8000000000000007</v>
      </c>
      <c r="E49" t="s">
        <v>20</v>
      </c>
      <c r="F49">
        <v>45</v>
      </c>
      <c r="G49">
        <v>93</v>
      </c>
      <c r="H49">
        <v>7</v>
      </c>
      <c r="I49">
        <v>12.5</v>
      </c>
      <c r="J49" t="s">
        <v>17</v>
      </c>
      <c r="K49">
        <v>5.6</v>
      </c>
      <c r="L49">
        <v>66.599999999999994</v>
      </c>
      <c r="M49" t="s">
        <v>17</v>
      </c>
      <c r="N49">
        <f>AVERAGEIF(Raw_Data!A:A, Raw_Data!A49, Raw_Data!D:D)</f>
        <v>6.7384615384615376</v>
      </c>
      <c r="O49" t="str">
        <f t="shared" si="0"/>
        <v>High Solar</v>
      </c>
    </row>
    <row r="50" spans="1:15">
      <c r="A50" t="s">
        <v>27</v>
      </c>
      <c r="B50">
        <v>13</v>
      </c>
      <c r="C50">
        <v>4503</v>
      </c>
      <c r="D50">
        <v>4.0999999999999996</v>
      </c>
      <c r="E50" t="s">
        <v>20</v>
      </c>
      <c r="F50">
        <v>27</v>
      </c>
      <c r="G50">
        <v>31</v>
      </c>
      <c r="H50">
        <v>8</v>
      </c>
      <c r="I50">
        <v>46.5</v>
      </c>
      <c r="J50" t="s">
        <v>18</v>
      </c>
      <c r="K50">
        <v>2.2000000000000002</v>
      </c>
      <c r="L50">
        <v>26.7</v>
      </c>
      <c r="M50" t="s">
        <v>21</v>
      </c>
      <c r="N50">
        <f>AVERAGEIF(Raw_Data!A:A, Raw_Data!A50, Raw_Data!D:D)</f>
        <v>6.8347826086956527</v>
      </c>
      <c r="O50" t="str">
        <f t="shared" si="0"/>
        <v>Low Solar</v>
      </c>
    </row>
    <row r="51" spans="1:15">
      <c r="A51" t="s">
        <v>24</v>
      </c>
      <c r="B51">
        <v>6.4</v>
      </c>
      <c r="C51">
        <v>1255</v>
      </c>
      <c r="D51">
        <v>8.1</v>
      </c>
      <c r="E51" t="s">
        <v>28</v>
      </c>
      <c r="F51">
        <v>27</v>
      </c>
      <c r="G51">
        <v>51</v>
      </c>
      <c r="H51">
        <v>6</v>
      </c>
      <c r="I51">
        <v>34.5</v>
      </c>
      <c r="J51" t="s">
        <v>17</v>
      </c>
      <c r="K51">
        <v>2.2000000000000002</v>
      </c>
      <c r="L51">
        <v>25.9</v>
      </c>
      <c r="M51" t="s">
        <v>18</v>
      </c>
      <c r="N51">
        <f>AVERAGEIF(Raw_Data!A:A, Raw_Data!A51, Raw_Data!D:D)</f>
        <v>7.0352941176470587</v>
      </c>
      <c r="O51" t="str">
        <f t="shared" si="0"/>
        <v>Medium Solar</v>
      </c>
    </row>
    <row r="52" spans="1:15">
      <c r="A52" t="s">
        <v>22</v>
      </c>
      <c r="B52">
        <v>15.2</v>
      </c>
      <c r="C52">
        <v>4424</v>
      </c>
      <c r="D52">
        <v>9.3000000000000007</v>
      </c>
      <c r="E52" t="s">
        <v>20</v>
      </c>
      <c r="F52">
        <v>42</v>
      </c>
      <c r="G52">
        <v>92</v>
      </c>
      <c r="H52">
        <v>6</v>
      </c>
      <c r="I52">
        <v>12</v>
      </c>
      <c r="J52" t="s">
        <v>17</v>
      </c>
      <c r="K52">
        <v>5.9</v>
      </c>
      <c r="L52">
        <v>70.7</v>
      </c>
      <c r="M52" t="s">
        <v>17</v>
      </c>
      <c r="N52">
        <f>AVERAGEIF(Raw_Data!A:A, Raw_Data!A52, Raw_Data!D:D)</f>
        <v>7.0051282051282051</v>
      </c>
      <c r="O52" t="str">
        <f t="shared" si="0"/>
        <v>High Solar</v>
      </c>
    </row>
    <row r="53" spans="1:15">
      <c r="A53" t="s">
        <v>24</v>
      </c>
      <c r="B53">
        <v>21</v>
      </c>
      <c r="C53">
        <v>2936</v>
      </c>
      <c r="D53">
        <v>8.6999999999999993</v>
      </c>
      <c r="E53" t="s">
        <v>16</v>
      </c>
      <c r="F53">
        <v>31</v>
      </c>
      <c r="G53">
        <v>52</v>
      </c>
      <c r="H53">
        <v>7</v>
      </c>
      <c r="I53">
        <v>31</v>
      </c>
      <c r="J53" t="s">
        <v>17</v>
      </c>
      <c r="K53">
        <v>7.6</v>
      </c>
      <c r="L53">
        <v>91.4</v>
      </c>
      <c r="M53" t="s">
        <v>18</v>
      </c>
      <c r="N53">
        <f>AVERAGEIF(Raw_Data!A:A, Raw_Data!A53, Raw_Data!D:D)</f>
        <v>7.0352941176470587</v>
      </c>
      <c r="O53" t="str">
        <f t="shared" si="0"/>
        <v>Medium Solar</v>
      </c>
    </row>
    <row r="54" spans="1:15">
      <c r="A54" t="s">
        <v>26</v>
      </c>
      <c r="B54">
        <v>3.8</v>
      </c>
      <c r="C54">
        <v>703</v>
      </c>
      <c r="D54">
        <v>5.6</v>
      </c>
      <c r="E54" t="s">
        <v>23</v>
      </c>
      <c r="F54">
        <v>37</v>
      </c>
      <c r="G54">
        <v>84</v>
      </c>
      <c r="H54">
        <v>4</v>
      </c>
      <c r="I54">
        <v>24</v>
      </c>
      <c r="J54" t="s">
        <v>18</v>
      </c>
      <c r="K54">
        <v>0.9</v>
      </c>
      <c r="L54">
        <v>10.6</v>
      </c>
      <c r="M54" t="s">
        <v>18</v>
      </c>
      <c r="N54">
        <f>AVERAGEIF(Raw_Data!A:A, Raw_Data!A54, Raw_Data!D:D)</f>
        <v>6.9771428571428586</v>
      </c>
      <c r="O54" t="str">
        <f t="shared" si="0"/>
        <v>High Solar</v>
      </c>
    </row>
    <row r="55" spans="1:15">
      <c r="A55" t="s">
        <v>34</v>
      </c>
      <c r="B55">
        <v>6.8</v>
      </c>
      <c r="C55">
        <v>1418</v>
      </c>
      <c r="D55">
        <v>6.7</v>
      </c>
      <c r="E55" t="s">
        <v>23</v>
      </c>
      <c r="F55">
        <v>38</v>
      </c>
      <c r="G55">
        <v>82</v>
      </c>
      <c r="H55">
        <v>6</v>
      </c>
      <c r="I55">
        <v>21</v>
      </c>
      <c r="J55" t="s">
        <v>17</v>
      </c>
      <c r="K55">
        <v>1.9</v>
      </c>
      <c r="L55">
        <v>22.8</v>
      </c>
      <c r="M55" t="s">
        <v>17</v>
      </c>
      <c r="N55">
        <f>AVERAGEIF(Raw_Data!A:A, Raw_Data!A55, Raw_Data!D:D)</f>
        <v>7.4411764705882346</v>
      </c>
      <c r="O55" t="str">
        <f t="shared" si="0"/>
        <v>High Solar</v>
      </c>
    </row>
    <row r="56" spans="1:15">
      <c r="A56" t="s">
        <v>26</v>
      </c>
      <c r="B56">
        <v>12.4</v>
      </c>
      <c r="C56">
        <v>3421</v>
      </c>
      <c r="D56">
        <v>8.6999999999999993</v>
      </c>
      <c r="E56" t="s">
        <v>28</v>
      </c>
      <c r="F56">
        <v>31</v>
      </c>
      <c r="G56">
        <v>72</v>
      </c>
      <c r="H56">
        <v>6</v>
      </c>
      <c r="I56">
        <v>31</v>
      </c>
      <c r="J56" t="s">
        <v>17</v>
      </c>
      <c r="K56">
        <v>4.5</v>
      </c>
      <c r="L56">
        <v>53.9</v>
      </c>
      <c r="M56" t="s">
        <v>17</v>
      </c>
      <c r="N56">
        <f>AVERAGEIF(Raw_Data!A:A, Raw_Data!A56, Raw_Data!D:D)</f>
        <v>6.9771428571428586</v>
      </c>
      <c r="O56" t="str">
        <f t="shared" si="0"/>
        <v>High Solar</v>
      </c>
    </row>
    <row r="57" spans="1:15">
      <c r="A57" t="s">
        <v>33</v>
      </c>
      <c r="B57">
        <v>2.5</v>
      </c>
      <c r="C57">
        <v>589</v>
      </c>
      <c r="D57">
        <v>7.8</v>
      </c>
      <c r="E57" t="s">
        <v>20</v>
      </c>
      <c r="F57">
        <v>32</v>
      </c>
      <c r="G57">
        <v>60</v>
      </c>
      <c r="H57">
        <v>2</v>
      </c>
      <c r="I57">
        <v>45</v>
      </c>
      <c r="J57" t="s">
        <v>17</v>
      </c>
      <c r="K57">
        <v>0.8</v>
      </c>
      <c r="L57">
        <v>9.8000000000000007</v>
      </c>
      <c r="M57" t="s">
        <v>18</v>
      </c>
      <c r="N57">
        <f>AVERAGEIF(Raw_Data!A:A, Raw_Data!A57, Raw_Data!D:D)</f>
        <v>7.1129032258064528</v>
      </c>
      <c r="O57" t="str">
        <f t="shared" si="0"/>
        <v>Medium Solar</v>
      </c>
    </row>
    <row r="58" spans="1:15">
      <c r="A58" t="s">
        <v>31</v>
      </c>
      <c r="B58">
        <v>15.2</v>
      </c>
      <c r="C58">
        <v>2958</v>
      </c>
      <c r="D58">
        <v>9.3000000000000007</v>
      </c>
      <c r="E58" t="s">
        <v>23</v>
      </c>
      <c r="F58">
        <v>35</v>
      </c>
      <c r="G58">
        <v>55</v>
      </c>
      <c r="H58">
        <v>8</v>
      </c>
      <c r="I58">
        <v>35.5</v>
      </c>
      <c r="J58" t="s">
        <v>17</v>
      </c>
      <c r="K58">
        <v>5.9</v>
      </c>
      <c r="L58">
        <v>70.7</v>
      </c>
      <c r="M58" t="s">
        <v>18</v>
      </c>
      <c r="N58">
        <f>AVERAGEIF(Raw_Data!A:A, Raw_Data!A58, Raw_Data!D:D)</f>
        <v>6.5849999999999991</v>
      </c>
      <c r="O58" t="str">
        <f t="shared" si="0"/>
        <v>Medium Solar</v>
      </c>
    </row>
    <row r="59" spans="1:15">
      <c r="A59" t="s">
        <v>36</v>
      </c>
      <c r="B59">
        <v>10.199999999999999</v>
      </c>
      <c r="C59">
        <v>2464</v>
      </c>
      <c r="D59">
        <v>7.7</v>
      </c>
      <c r="E59" t="s">
        <v>16</v>
      </c>
      <c r="F59">
        <v>38</v>
      </c>
      <c r="G59">
        <v>70</v>
      </c>
      <c r="H59">
        <v>7</v>
      </c>
      <c r="I59">
        <v>30</v>
      </c>
      <c r="J59" t="s">
        <v>17</v>
      </c>
      <c r="K59">
        <v>3.3</v>
      </c>
      <c r="L59">
        <v>39.299999999999997</v>
      </c>
      <c r="M59" t="s">
        <v>18</v>
      </c>
      <c r="N59">
        <f>AVERAGEIF(Raw_Data!A:A, Raw_Data!A59, Raw_Data!D:D)</f>
        <v>7.5260869565217385</v>
      </c>
      <c r="O59" t="str">
        <f t="shared" si="0"/>
        <v>Medium Solar</v>
      </c>
    </row>
    <row r="60" spans="1:15">
      <c r="A60" t="s">
        <v>27</v>
      </c>
      <c r="B60">
        <v>22.1</v>
      </c>
      <c r="C60">
        <v>2330</v>
      </c>
      <c r="D60">
        <v>6.8</v>
      </c>
      <c r="E60" t="s">
        <v>16</v>
      </c>
      <c r="F60">
        <v>45</v>
      </c>
      <c r="G60">
        <v>93</v>
      </c>
      <c r="H60">
        <v>8</v>
      </c>
      <c r="I60">
        <v>11.5</v>
      </c>
      <c r="J60" t="s">
        <v>17</v>
      </c>
      <c r="K60">
        <v>6.3</v>
      </c>
      <c r="L60">
        <v>75.099999999999994</v>
      </c>
      <c r="M60" t="s">
        <v>17</v>
      </c>
      <c r="N60">
        <f>AVERAGEIF(Raw_Data!A:A, Raw_Data!A60, Raw_Data!D:D)</f>
        <v>6.8347826086956527</v>
      </c>
      <c r="O60" t="str">
        <f t="shared" si="0"/>
        <v>High Solar</v>
      </c>
    </row>
    <row r="61" spans="1:15">
      <c r="A61" t="s">
        <v>36</v>
      </c>
      <c r="B61">
        <v>21.6</v>
      </c>
      <c r="C61">
        <v>2062</v>
      </c>
      <c r="D61">
        <v>6</v>
      </c>
      <c r="E61" t="s">
        <v>23</v>
      </c>
      <c r="F61">
        <v>33</v>
      </c>
      <c r="G61">
        <v>70</v>
      </c>
      <c r="H61">
        <v>9</v>
      </c>
      <c r="I61">
        <v>20</v>
      </c>
      <c r="J61" t="s">
        <v>18</v>
      </c>
      <c r="K61">
        <v>5.4</v>
      </c>
      <c r="L61">
        <v>64.8</v>
      </c>
      <c r="M61" t="s">
        <v>18</v>
      </c>
      <c r="N61">
        <f>AVERAGEIF(Raw_Data!A:A, Raw_Data!A61, Raw_Data!D:D)</f>
        <v>7.5260869565217385</v>
      </c>
      <c r="O61" t="str">
        <f t="shared" si="0"/>
        <v>Medium Solar</v>
      </c>
    </row>
    <row r="62" spans="1:15">
      <c r="A62" t="s">
        <v>26</v>
      </c>
      <c r="B62">
        <v>8.3000000000000007</v>
      </c>
      <c r="C62">
        <v>1698</v>
      </c>
      <c r="D62">
        <v>5.7</v>
      </c>
      <c r="E62" t="s">
        <v>16</v>
      </c>
      <c r="F62">
        <v>31</v>
      </c>
      <c r="G62">
        <v>57</v>
      </c>
      <c r="H62">
        <v>5</v>
      </c>
      <c r="I62">
        <v>36.5</v>
      </c>
      <c r="J62" t="s">
        <v>18</v>
      </c>
      <c r="K62">
        <v>2</v>
      </c>
      <c r="L62">
        <v>23.7</v>
      </c>
      <c r="M62" t="s">
        <v>18</v>
      </c>
      <c r="N62">
        <f>AVERAGEIF(Raw_Data!A:A, Raw_Data!A62, Raw_Data!D:D)</f>
        <v>6.9771428571428586</v>
      </c>
      <c r="O62" t="str">
        <f t="shared" si="0"/>
        <v>Medium Solar</v>
      </c>
    </row>
    <row r="63" spans="1:15">
      <c r="A63" t="s">
        <v>25</v>
      </c>
      <c r="B63">
        <v>2.7</v>
      </c>
      <c r="C63">
        <v>169</v>
      </c>
      <c r="D63">
        <v>5.0999999999999996</v>
      </c>
      <c r="E63" t="s">
        <v>23</v>
      </c>
      <c r="F63">
        <v>27</v>
      </c>
      <c r="G63">
        <v>42</v>
      </c>
      <c r="H63">
        <v>3</v>
      </c>
      <c r="I63">
        <v>44</v>
      </c>
      <c r="J63" t="s">
        <v>18</v>
      </c>
      <c r="K63">
        <v>0.6</v>
      </c>
      <c r="L63">
        <v>6.9</v>
      </c>
      <c r="M63" t="s">
        <v>21</v>
      </c>
      <c r="N63">
        <f>AVERAGEIF(Raw_Data!A:A, Raw_Data!A63, Raw_Data!D:D)</f>
        <v>7.0823529411764703</v>
      </c>
      <c r="O63" t="str">
        <f t="shared" si="0"/>
        <v>Low Solar</v>
      </c>
    </row>
    <row r="64" spans="1:15">
      <c r="A64" t="s">
        <v>36</v>
      </c>
      <c r="B64">
        <v>20.7</v>
      </c>
      <c r="C64">
        <v>3850</v>
      </c>
      <c r="D64">
        <v>9</v>
      </c>
      <c r="E64" t="s">
        <v>28</v>
      </c>
      <c r="F64">
        <v>40</v>
      </c>
      <c r="G64">
        <v>83</v>
      </c>
      <c r="H64">
        <v>6</v>
      </c>
      <c r="I64">
        <v>23.5</v>
      </c>
      <c r="J64" t="s">
        <v>17</v>
      </c>
      <c r="K64">
        <v>7.8</v>
      </c>
      <c r="L64">
        <v>93.2</v>
      </c>
      <c r="M64" t="s">
        <v>17</v>
      </c>
      <c r="N64">
        <f>AVERAGEIF(Raw_Data!A:A, Raw_Data!A64, Raw_Data!D:D)</f>
        <v>7.5260869565217385</v>
      </c>
      <c r="O64" t="str">
        <f t="shared" si="0"/>
        <v>High Solar</v>
      </c>
    </row>
    <row r="65" spans="1:15">
      <c r="A65" t="s">
        <v>35</v>
      </c>
      <c r="B65">
        <v>23.2</v>
      </c>
      <c r="C65">
        <v>2053</v>
      </c>
      <c r="D65">
        <v>6.8</v>
      </c>
      <c r="E65" t="s">
        <v>23</v>
      </c>
      <c r="F65">
        <v>32</v>
      </c>
      <c r="G65">
        <v>68</v>
      </c>
      <c r="H65">
        <v>8</v>
      </c>
      <c r="I65">
        <v>26</v>
      </c>
      <c r="J65" t="s">
        <v>17</v>
      </c>
      <c r="K65">
        <v>6.6</v>
      </c>
      <c r="L65">
        <v>78.900000000000006</v>
      </c>
      <c r="M65" t="s">
        <v>18</v>
      </c>
      <c r="N65">
        <f>AVERAGEIF(Raw_Data!A:A, Raw_Data!A65, Raw_Data!D:D)</f>
        <v>7.4206896551724144</v>
      </c>
      <c r="O65" t="str">
        <f t="shared" si="0"/>
        <v>Medium Solar</v>
      </c>
    </row>
    <row r="66" spans="1:15">
      <c r="A66" t="s">
        <v>33</v>
      </c>
      <c r="B66">
        <v>1.6</v>
      </c>
      <c r="C66">
        <v>658</v>
      </c>
      <c r="D66">
        <v>7.7</v>
      </c>
      <c r="E66" t="s">
        <v>16</v>
      </c>
      <c r="F66">
        <v>38</v>
      </c>
      <c r="G66">
        <v>81</v>
      </c>
      <c r="H66">
        <v>2</v>
      </c>
      <c r="I66">
        <v>35.5</v>
      </c>
      <c r="J66" t="s">
        <v>17</v>
      </c>
      <c r="K66">
        <v>0.5</v>
      </c>
      <c r="L66">
        <v>6.2</v>
      </c>
      <c r="M66" t="s">
        <v>18</v>
      </c>
      <c r="N66">
        <f>AVERAGEIF(Raw_Data!A:A, Raw_Data!A66, Raw_Data!D:D)</f>
        <v>7.1129032258064528</v>
      </c>
      <c r="O66" t="str">
        <f t="shared" ref="O66:O129" si="1">IF(G66&gt;70, "High Solar", IF(G66&lt;50, "Low Solar", "Medium Solar"))</f>
        <v>High Solar</v>
      </c>
    </row>
    <row r="67" spans="1:15">
      <c r="A67" t="s">
        <v>19</v>
      </c>
      <c r="B67">
        <v>22.8</v>
      </c>
      <c r="C67">
        <v>3092</v>
      </c>
      <c r="D67">
        <v>5.5</v>
      </c>
      <c r="E67" t="s">
        <v>23</v>
      </c>
      <c r="F67">
        <v>30</v>
      </c>
      <c r="G67">
        <v>45</v>
      </c>
      <c r="H67">
        <v>6</v>
      </c>
      <c r="I67">
        <v>44.5</v>
      </c>
      <c r="J67" t="s">
        <v>18</v>
      </c>
      <c r="K67">
        <v>5.2</v>
      </c>
      <c r="L67">
        <v>62.7</v>
      </c>
      <c r="M67" t="s">
        <v>21</v>
      </c>
      <c r="N67">
        <f>AVERAGEIF(Raw_Data!A:A, Raw_Data!A67, Raw_Data!D:D)</f>
        <v>6.8899999999999988</v>
      </c>
      <c r="O67" t="str">
        <f t="shared" si="1"/>
        <v>Low Solar</v>
      </c>
    </row>
    <row r="68" spans="1:15">
      <c r="A68" t="s">
        <v>24</v>
      </c>
      <c r="B68">
        <v>1.7</v>
      </c>
      <c r="C68">
        <v>630</v>
      </c>
      <c r="D68">
        <v>4.5</v>
      </c>
      <c r="E68" t="s">
        <v>20</v>
      </c>
      <c r="F68">
        <v>30</v>
      </c>
      <c r="G68">
        <v>53</v>
      </c>
      <c r="H68">
        <v>5</v>
      </c>
      <c r="I68">
        <v>36.5</v>
      </c>
      <c r="J68" t="s">
        <v>18</v>
      </c>
      <c r="K68">
        <v>0.3</v>
      </c>
      <c r="L68">
        <v>3.8</v>
      </c>
      <c r="M68" t="s">
        <v>18</v>
      </c>
      <c r="N68">
        <f>AVERAGEIF(Raw_Data!A:A, Raw_Data!A68, Raw_Data!D:D)</f>
        <v>7.0352941176470587</v>
      </c>
      <c r="O68" t="str">
        <f t="shared" si="1"/>
        <v>Medium Solar</v>
      </c>
    </row>
    <row r="69" spans="1:15">
      <c r="A69" t="s">
        <v>33</v>
      </c>
      <c r="B69">
        <v>10.6</v>
      </c>
      <c r="C69">
        <v>3582</v>
      </c>
      <c r="D69">
        <v>4.4000000000000004</v>
      </c>
      <c r="E69" t="s">
        <v>20</v>
      </c>
      <c r="F69">
        <v>29</v>
      </c>
      <c r="G69">
        <v>43</v>
      </c>
      <c r="H69">
        <v>9</v>
      </c>
      <c r="I69">
        <v>40.5</v>
      </c>
      <c r="J69" t="s">
        <v>18</v>
      </c>
      <c r="K69">
        <v>1.9</v>
      </c>
      <c r="L69">
        <v>23.3</v>
      </c>
      <c r="M69" t="s">
        <v>21</v>
      </c>
      <c r="N69">
        <f>AVERAGEIF(Raw_Data!A:A, Raw_Data!A69, Raw_Data!D:D)</f>
        <v>7.1129032258064528</v>
      </c>
      <c r="O69" t="str">
        <f t="shared" si="1"/>
        <v>Low Solar</v>
      </c>
    </row>
    <row r="70" spans="1:15">
      <c r="A70" t="s">
        <v>19</v>
      </c>
      <c r="B70">
        <v>5.8</v>
      </c>
      <c r="C70">
        <v>1287</v>
      </c>
      <c r="D70">
        <v>8.3000000000000007</v>
      </c>
      <c r="E70" t="s">
        <v>28</v>
      </c>
      <c r="F70">
        <v>35</v>
      </c>
      <c r="G70">
        <v>61</v>
      </c>
      <c r="H70">
        <v>4</v>
      </c>
      <c r="I70">
        <v>32.5</v>
      </c>
      <c r="J70" t="s">
        <v>17</v>
      </c>
      <c r="K70">
        <v>2</v>
      </c>
      <c r="L70">
        <v>24.1</v>
      </c>
      <c r="M70" t="s">
        <v>18</v>
      </c>
      <c r="N70">
        <f>AVERAGEIF(Raw_Data!A:A, Raw_Data!A70, Raw_Data!D:D)</f>
        <v>6.8899999999999988</v>
      </c>
      <c r="O70" t="str">
        <f t="shared" si="1"/>
        <v>Medium Solar</v>
      </c>
    </row>
    <row r="71" spans="1:15">
      <c r="A71" t="s">
        <v>25</v>
      </c>
      <c r="B71">
        <v>15.5</v>
      </c>
      <c r="C71">
        <v>3137</v>
      </c>
      <c r="D71">
        <v>7.8</v>
      </c>
      <c r="E71" t="s">
        <v>16</v>
      </c>
      <c r="F71">
        <v>25</v>
      </c>
      <c r="G71">
        <v>54</v>
      </c>
      <c r="H71">
        <v>6</v>
      </c>
      <c r="I71">
        <v>31</v>
      </c>
      <c r="J71" t="s">
        <v>17</v>
      </c>
      <c r="K71">
        <v>5</v>
      </c>
      <c r="L71">
        <v>60.5</v>
      </c>
      <c r="M71" t="s">
        <v>18</v>
      </c>
      <c r="N71">
        <f>AVERAGEIF(Raw_Data!A:A, Raw_Data!A71, Raw_Data!D:D)</f>
        <v>7.0823529411764703</v>
      </c>
      <c r="O71" t="str">
        <f t="shared" si="1"/>
        <v>Medium Solar</v>
      </c>
    </row>
    <row r="72" spans="1:15">
      <c r="A72" t="s">
        <v>15</v>
      </c>
      <c r="B72">
        <v>11.9</v>
      </c>
      <c r="C72">
        <v>2276</v>
      </c>
      <c r="D72">
        <v>7.8</v>
      </c>
      <c r="E72" t="s">
        <v>23</v>
      </c>
      <c r="F72">
        <v>25</v>
      </c>
      <c r="G72">
        <v>41</v>
      </c>
      <c r="H72">
        <v>9</v>
      </c>
      <c r="I72">
        <v>41.5</v>
      </c>
      <c r="J72" t="s">
        <v>17</v>
      </c>
      <c r="K72">
        <v>3.9</v>
      </c>
      <c r="L72">
        <v>46.4</v>
      </c>
      <c r="M72" t="s">
        <v>21</v>
      </c>
      <c r="N72">
        <f>AVERAGEIF(Raw_Data!A:A, Raw_Data!A72, Raw_Data!D:D)</f>
        <v>7.1264705882352937</v>
      </c>
      <c r="O72" t="str">
        <f t="shared" si="1"/>
        <v>Low Solar</v>
      </c>
    </row>
    <row r="73" spans="1:15">
      <c r="A73" t="s">
        <v>36</v>
      </c>
      <c r="B73">
        <v>8</v>
      </c>
      <c r="C73">
        <v>1745</v>
      </c>
      <c r="D73">
        <v>8.8000000000000007</v>
      </c>
      <c r="E73" t="s">
        <v>16</v>
      </c>
      <c r="F73">
        <v>32</v>
      </c>
      <c r="G73">
        <v>80</v>
      </c>
      <c r="H73">
        <v>5</v>
      </c>
      <c r="I73">
        <v>27</v>
      </c>
      <c r="J73" t="s">
        <v>17</v>
      </c>
      <c r="K73">
        <v>2.9</v>
      </c>
      <c r="L73">
        <v>35.200000000000003</v>
      </c>
      <c r="M73" t="s">
        <v>18</v>
      </c>
      <c r="N73">
        <f>AVERAGEIF(Raw_Data!A:A, Raw_Data!A73, Raw_Data!D:D)</f>
        <v>7.5260869565217385</v>
      </c>
      <c r="O73" t="str">
        <f t="shared" si="1"/>
        <v>High Solar</v>
      </c>
    </row>
    <row r="74" spans="1:15">
      <c r="A74" t="s">
        <v>31</v>
      </c>
      <c r="B74">
        <v>22.6</v>
      </c>
      <c r="C74">
        <v>4671</v>
      </c>
      <c r="D74">
        <v>6.1</v>
      </c>
      <c r="E74" t="s">
        <v>20</v>
      </c>
      <c r="F74">
        <v>34</v>
      </c>
      <c r="G74">
        <v>69</v>
      </c>
      <c r="H74">
        <v>7</v>
      </c>
      <c r="I74">
        <v>23.5</v>
      </c>
      <c r="J74" t="s">
        <v>17</v>
      </c>
      <c r="K74">
        <v>5.7</v>
      </c>
      <c r="L74">
        <v>68.900000000000006</v>
      </c>
      <c r="M74" t="s">
        <v>18</v>
      </c>
      <c r="N74">
        <f>AVERAGEIF(Raw_Data!A:A, Raw_Data!A74, Raw_Data!D:D)</f>
        <v>6.5849999999999991</v>
      </c>
      <c r="O74" t="str">
        <f t="shared" si="1"/>
        <v>Medium Solar</v>
      </c>
    </row>
    <row r="75" spans="1:15">
      <c r="A75" t="s">
        <v>33</v>
      </c>
      <c r="B75">
        <v>18</v>
      </c>
      <c r="C75">
        <v>2532</v>
      </c>
      <c r="D75">
        <v>7.3</v>
      </c>
      <c r="E75" t="s">
        <v>20</v>
      </c>
      <c r="F75">
        <v>35</v>
      </c>
      <c r="G75">
        <v>75</v>
      </c>
      <c r="H75">
        <v>7</v>
      </c>
      <c r="I75">
        <v>24.5</v>
      </c>
      <c r="J75" t="s">
        <v>17</v>
      </c>
      <c r="K75">
        <v>5.5</v>
      </c>
      <c r="L75">
        <v>65.7</v>
      </c>
      <c r="M75" t="s">
        <v>17</v>
      </c>
      <c r="N75">
        <f>AVERAGEIF(Raw_Data!A:A, Raw_Data!A75, Raw_Data!D:D)</f>
        <v>7.1129032258064528</v>
      </c>
      <c r="O75" t="str">
        <f t="shared" si="1"/>
        <v>High Solar</v>
      </c>
    </row>
    <row r="76" spans="1:15">
      <c r="A76" t="s">
        <v>34</v>
      </c>
      <c r="B76">
        <v>16.100000000000001</v>
      </c>
      <c r="C76">
        <v>4234</v>
      </c>
      <c r="D76">
        <v>4.7</v>
      </c>
      <c r="E76" t="s">
        <v>23</v>
      </c>
      <c r="F76">
        <v>31</v>
      </c>
      <c r="G76">
        <v>55</v>
      </c>
      <c r="H76">
        <v>6</v>
      </c>
      <c r="I76">
        <v>30.5</v>
      </c>
      <c r="J76" t="s">
        <v>18</v>
      </c>
      <c r="K76">
        <v>3.2</v>
      </c>
      <c r="L76">
        <v>37.799999999999997</v>
      </c>
      <c r="M76" t="s">
        <v>18</v>
      </c>
      <c r="N76">
        <f>AVERAGEIF(Raw_Data!A:A, Raw_Data!A76, Raw_Data!D:D)</f>
        <v>7.4411764705882346</v>
      </c>
      <c r="O76" t="str">
        <f t="shared" si="1"/>
        <v>Medium Solar</v>
      </c>
    </row>
    <row r="77" spans="1:15">
      <c r="A77" t="s">
        <v>26</v>
      </c>
      <c r="B77">
        <v>18.5</v>
      </c>
      <c r="C77">
        <v>2411</v>
      </c>
      <c r="D77">
        <v>8.4</v>
      </c>
      <c r="E77" t="s">
        <v>28</v>
      </c>
      <c r="F77">
        <v>29</v>
      </c>
      <c r="G77">
        <v>43</v>
      </c>
      <c r="H77">
        <v>6</v>
      </c>
      <c r="I77">
        <v>42.5</v>
      </c>
      <c r="J77" t="s">
        <v>17</v>
      </c>
      <c r="K77">
        <v>6.5</v>
      </c>
      <c r="L77">
        <v>77.7</v>
      </c>
      <c r="M77" t="s">
        <v>21</v>
      </c>
      <c r="N77">
        <f>AVERAGEIF(Raw_Data!A:A, Raw_Data!A77, Raw_Data!D:D)</f>
        <v>6.9771428571428586</v>
      </c>
      <c r="O77" t="str">
        <f t="shared" si="1"/>
        <v>Low Solar</v>
      </c>
    </row>
    <row r="78" spans="1:15">
      <c r="A78" t="s">
        <v>30</v>
      </c>
      <c r="B78">
        <v>9.3000000000000007</v>
      </c>
      <c r="C78">
        <v>962</v>
      </c>
      <c r="D78">
        <v>8.3000000000000007</v>
      </c>
      <c r="E78" t="s">
        <v>28</v>
      </c>
      <c r="F78">
        <v>42</v>
      </c>
      <c r="G78">
        <v>82</v>
      </c>
      <c r="H78">
        <v>7</v>
      </c>
      <c r="I78">
        <v>18</v>
      </c>
      <c r="J78" t="s">
        <v>17</v>
      </c>
      <c r="K78">
        <v>3.2</v>
      </c>
      <c r="L78">
        <v>38.6</v>
      </c>
      <c r="M78" t="s">
        <v>17</v>
      </c>
      <c r="N78">
        <f>AVERAGEIF(Raw_Data!A:A, Raw_Data!A78, Raw_Data!D:D)</f>
        <v>7</v>
      </c>
      <c r="O78" t="str">
        <f t="shared" si="1"/>
        <v>High Solar</v>
      </c>
    </row>
    <row r="79" spans="1:15">
      <c r="A79" t="s">
        <v>26</v>
      </c>
      <c r="B79">
        <v>16.2</v>
      </c>
      <c r="C79">
        <v>4800</v>
      </c>
      <c r="D79">
        <v>4.8</v>
      </c>
      <c r="E79" t="s">
        <v>20</v>
      </c>
      <c r="F79">
        <v>32</v>
      </c>
      <c r="G79">
        <v>60</v>
      </c>
      <c r="H79">
        <v>7</v>
      </c>
      <c r="I79">
        <v>36</v>
      </c>
      <c r="J79" t="s">
        <v>18</v>
      </c>
      <c r="K79">
        <v>3.2</v>
      </c>
      <c r="L79">
        <v>38.9</v>
      </c>
      <c r="M79" t="s">
        <v>18</v>
      </c>
      <c r="N79">
        <f>AVERAGEIF(Raw_Data!A:A, Raw_Data!A79, Raw_Data!D:D)</f>
        <v>6.9771428571428586</v>
      </c>
      <c r="O79" t="str">
        <f t="shared" si="1"/>
        <v>Medium Solar</v>
      </c>
    </row>
    <row r="80" spans="1:15">
      <c r="A80" t="s">
        <v>27</v>
      </c>
      <c r="B80">
        <v>3.9</v>
      </c>
      <c r="C80">
        <v>710</v>
      </c>
      <c r="D80">
        <v>5.0999999999999996</v>
      </c>
      <c r="E80" t="s">
        <v>23</v>
      </c>
      <c r="F80">
        <v>27</v>
      </c>
      <c r="G80">
        <v>40</v>
      </c>
      <c r="H80">
        <v>4</v>
      </c>
      <c r="I80">
        <v>48</v>
      </c>
      <c r="J80" t="s">
        <v>18</v>
      </c>
      <c r="K80">
        <v>0.8</v>
      </c>
      <c r="L80">
        <v>9.9</v>
      </c>
      <c r="M80" t="s">
        <v>21</v>
      </c>
      <c r="N80">
        <f>AVERAGEIF(Raw_Data!A:A, Raw_Data!A80, Raw_Data!D:D)</f>
        <v>6.8347826086956527</v>
      </c>
      <c r="O80" t="str">
        <f t="shared" si="1"/>
        <v>Low Solar</v>
      </c>
    </row>
    <row r="81" spans="1:15">
      <c r="A81" t="s">
        <v>35</v>
      </c>
      <c r="B81">
        <v>20.8</v>
      </c>
      <c r="C81">
        <v>4401</v>
      </c>
      <c r="D81">
        <v>6.4</v>
      </c>
      <c r="E81" t="s">
        <v>16</v>
      </c>
      <c r="F81">
        <v>29</v>
      </c>
      <c r="G81">
        <v>65</v>
      </c>
      <c r="H81">
        <v>8</v>
      </c>
      <c r="I81">
        <v>23.5</v>
      </c>
      <c r="J81" t="s">
        <v>17</v>
      </c>
      <c r="K81">
        <v>5.5</v>
      </c>
      <c r="L81">
        <v>66.599999999999994</v>
      </c>
      <c r="M81" t="s">
        <v>18</v>
      </c>
      <c r="N81">
        <f>AVERAGEIF(Raw_Data!A:A, Raw_Data!A81, Raw_Data!D:D)</f>
        <v>7.4206896551724144</v>
      </c>
      <c r="O81" t="str">
        <f t="shared" si="1"/>
        <v>Medium Solar</v>
      </c>
    </row>
    <row r="82" spans="1:15">
      <c r="A82" t="s">
        <v>30</v>
      </c>
      <c r="B82">
        <v>18.3</v>
      </c>
      <c r="C82">
        <v>4955</v>
      </c>
      <c r="D82">
        <v>8.8000000000000007</v>
      </c>
      <c r="E82" t="s">
        <v>23</v>
      </c>
      <c r="F82">
        <v>45</v>
      </c>
      <c r="G82">
        <v>88</v>
      </c>
      <c r="H82">
        <v>9</v>
      </c>
      <c r="I82">
        <v>8</v>
      </c>
      <c r="J82" t="s">
        <v>17</v>
      </c>
      <c r="K82">
        <v>6.7</v>
      </c>
      <c r="L82">
        <v>80.5</v>
      </c>
      <c r="M82" t="s">
        <v>17</v>
      </c>
      <c r="N82">
        <f>AVERAGEIF(Raw_Data!A:A, Raw_Data!A82, Raw_Data!D:D)</f>
        <v>7</v>
      </c>
      <c r="O82" t="str">
        <f t="shared" si="1"/>
        <v>High Solar</v>
      </c>
    </row>
    <row r="83" spans="1:15">
      <c r="A83" t="s">
        <v>37</v>
      </c>
      <c r="B83">
        <v>6.1</v>
      </c>
      <c r="C83">
        <v>878</v>
      </c>
      <c r="D83">
        <v>4.4000000000000004</v>
      </c>
      <c r="E83" t="s">
        <v>20</v>
      </c>
      <c r="F83">
        <v>29</v>
      </c>
      <c r="G83">
        <v>30</v>
      </c>
      <c r="H83">
        <v>6</v>
      </c>
      <c r="I83">
        <v>45</v>
      </c>
      <c r="J83" t="s">
        <v>18</v>
      </c>
      <c r="K83">
        <v>1.1000000000000001</v>
      </c>
      <c r="L83">
        <v>13.4</v>
      </c>
      <c r="M83" t="s">
        <v>21</v>
      </c>
      <c r="N83">
        <f>AVERAGEIF(Raw_Data!A:A, Raw_Data!A83, Raw_Data!D:D)</f>
        <v>6.7384615384615376</v>
      </c>
      <c r="O83" t="str">
        <f t="shared" si="1"/>
        <v>Low Solar</v>
      </c>
    </row>
    <row r="84" spans="1:15">
      <c r="A84" t="s">
        <v>34</v>
      </c>
      <c r="B84">
        <v>15.1</v>
      </c>
      <c r="C84">
        <v>3065</v>
      </c>
      <c r="D84">
        <v>7.3</v>
      </c>
      <c r="E84" t="s">
        <v>23</v>
      </c>
      <c r="F84">
        <v>35</v>
      </c>
      <c r="G84">
        <v>78</v>
      </c>
      <c r="H84">
        <v>7</v>
      </c>
      <c r="I84">
        <v>25</v>
      </c>
      <c r="J84" t="s">
        <v>17</v>
      </c>
      <c r="K84">
        <v>4.5999999999999996</v>
      </c>
      <c r="L84">
        <v>55.1</v>
      </c>
      <c r="M84" t="s">
        <v>17</v>
      </c>
      <c r="N84">
        <f>AVERAGEIF(Raw_Data!A:A, Raw_Data!A84, Raw_Data!D:D)</f>
        <v>7.4411764705882346</v>
      </c>
      <c r="O84" t="str">
        <f t="shared" si="1"/>
        <v>High Solar</v>
      </c>
    </row>
    <row r="85" spans="1:15">
      <c r="A85" t="s">
        <v>15</v>
      </c>
      <c r="B85">
        <v>18.8</v>
      </c>
      <c r="C85">
        <v>3573</v>
      </c>
      <c r="D85">
        <v>6.2</v>
      </c>
      <c r="E85" t="s">
        <v>20</v>
      </c>
      <c r="F85">
        <v>28</v>
      </c>
      <c r="G85">
        <v>34</v>
      </c>
      <c r="H85">
        <v>8</v>
      </c>
      <c r="I85">
        <v>43</v>
      </c>
      <c r="J85" t="s">
        <v>17</v>
      </c>
      <c r="K85">
        <v>4.9000000000000004</v>
      </c>
      <c r="L85">
        <v>58.3</v>
      </c>
      <c r="M85" t="s">
        <v>21</v>
      </c>
      <c r="N85">
        <f>AVERAGEIF(Raw_Data!A:A, Raw_Data!A85, Raw_Data!D:D)</f>
        <v>7.1264705882352937</v>
      </c>
      <c r="O85" t="str">
        <f t="shared" si="1"/>
        <v>Low Solar</v>
      </c>
    </row>
    <row r="86" spans="1:15">
      <c r="A86" t="s">
        <v>25</v>
      </c>
      <c r="B86">
        <v>24.6</v>
      </c>
      <c r="C86">
        <v>3765</v>
      </c>
      <c r="D86">
        <v>6</v>
      </c>
      <c r="E86" t="s">
        <v>23</v>
      </c>
      <c r="F86">
        <v>40</v>
      </c>
      <c r="G86">
        <v>85</v>
      </c>
      <c r="H86">
        <v>6</v>
      </c>
      <c r="I86">
        <v>20.5</v>
      </c>
      <c r="J86" t="s">
        <v>18</v>
      </c>
      <c r="K86">
        <v>6.2</v>
      </c>
      <c r="L86">
        <v>73.8</v>
      </c>
      <c r="M86" t="s">
        <v>17</v>
      </c>
      <c r="N86">
        <f>AVERAGEIF(Raw_Data!A:A, Raw_Data!A86, Raw_Data!D:D)</f>
        <v>7.0823529411764703</v>
      </c>
      <c r="O86" t="str">
        <f t="shared" si="1"/>
        <v>High Solar</v>
      </c>
    </row>
    <row r="87" spans="1:15">
      <c r="A87" t="s">
        <v>27</v>
      </c>
      <c r="B87">
        <v>3.2</v>
      </c>
      <c r="C87">
        <v>164</v>
      </c>
      <c r="D87">
        <v>4.8</v>
      </c>
      <c r="E87" t="s">
        <v>20</v>
      </c>
      <c r="F87">
        <v>25</v>
      </c>
      <c r="G87">
        <v>44</v>
      </c>
      <c r="H87">
        <v>2</v>
      </c>
      <c r="I87">
        <v>49</v>
      </c>
      <c r="J87" t="s">
        <v>18</v>
      </c>
      <c r="K87">
        <v>0.6</v>
      </c>
      <c r="L87">
        <v>7.7</v>
      </c>
      <c r="M87" t="s">
        <v>21</v>
      </c>
      <c r="N87">
        <f>AVERAGEIF(Raw_Data!A:A, Raw_Data!A87, Raw_Data!D:D)</f>
        <v>6.8347826086956527</v>
      </c>
      <c r="O87" t="str">
        <f t="shared" si="1"/>
        <v>Low Solar</v>
      </c>
    </row>
    <row r="88" spans="1:15">
      <c r="A88" t="s">
        <v>15</v>
      </c>
      <c r="B88">
        <v>12.7</v>
      </c>
      <c r="C88">
        <v>2238</v>
      </c>
      <c r="D88">
        <v>8.8000000000000007</v>
      </c>
      <c r="E88" t="s">
        <v>23</v>
      </c>
      <c r="F88">
        <v>32</v>
      </c>
      <c r="G88">
        <v>57</v>
      </c>
      <c r="H88">
        <v>9</v>
      </c>
      <c r="I88">
        <v>27.5</v>
      </c>
      <c r="J88" t="s">
        <v>17</v>
      </c>
      <c r="K88">
        <v>4.7</v>
      </c>
      <c r="L88">
        <v>55.9</v>
      </c>
      <c r="M88" t="s">
        <v>18</v>
      </c>
      <c r="N88">
        <f>AVERAGEIF(Raw_Data!A:A, Raw_Data!A88, Raw_Data!D:D)</f>
        <v>7.1264705882352937</v>
      </c>
      <c r="O88" t="str">
        <f t="shared" si="1"/>
        <v>Medium Solar</v>
      </c>
    </row>
    <row r="89" spans="1:15">
      <c r="A89" t="s">
        <v>26</v>
      </c>
      <c r="B89">
        <v>4.8</v>
      </c>
      <c r="C89">
        <v>581</v>
      </c>
      <c r="D89">
        <v>10.3</v>
      </c>
      <c r="E89" t="s">
        <v>20</v>
      </c>
      <c r="F89">
        <v>42</v>
      </c>
      <c r="G89">
        <v>75</v>
      </c>
      <c r="H89">
        <v>2</v>
      </c>
      <c r="I89">
        <v>36.5</v>
      </c>
      <c r="J89" t="s">
        <v>32</v>
      </c>
      <c r="K89">
        <v>2.1</v>
      </c>
      <c r="L89">
        <v>24.7</v>
      </c>
      <c r="M89" t="s">
        <v>18</v>
      </c>
      <c r="N89">
        <f>AVERAGEIF(Raw_Data!A:A, Raw_Data!A89, Raw_Data!D:D)</f>
        <v>6.9771428571428586</v>
      </c>
      <c r="O89" t="str">
        <f t="shared" si="1"/>
        <v>High Solar</v>
      </c>
    </row>
    <row r="90" spans="1:15">
      <c r="A90" t="s">
        <v>31</v>
      </c>
      <c r="B90">
        <v>6.5</v>
      </c>
      <c r="C90">
        <v>962</v>
      </c>
      <c r="D90">
        <v>5.5</v>
      </c>
      <c r="E90" t="s">
        <v>20</v>
      </c>
      <c r="F90">
        <v>30</v>
      </c>
      <c r="G90">
        <v>55</v>
      </c>
      <c r="H90">
        <v>6</v>
      </c>
      <c r="I90">
        <v>37.5</v>
      </c>
      <c r="J90" t="s">
        <v>18</v>
      </c>
      <c r="K90">
        <v>1.5</v>
      </c>
      <c r="L90">
        <v>17.899999999999999</v>
      </c>
      <c r="M90" t="s">
        <v>18</v>
      </c>
      <c r="N90">
        <f>AVERAGEIF(Raw_Data!A:A, Raw_Data!A90, Raw_Data!D:D)</f>
        <v>6.5849999999999991</v>
      </c>
      <c r="O90" t="str">
        <f t="shared" si="1"/>
        <v>Medium Solar</v>
      </c>
    </row>
    <row r="91" spans="1:15">
      <c r="A91" t="s">
        <v>36</v>
      </c>
      <c r="B91">
        <v>7.8</v>
      </c>
      <c r="C91">
        <v>1084</v>
      </c>
      <c r="D91">
        <v>6.8</v>
      </c>
      <c r="E91" t="s">
        <v>23</v>
      </c>
      <c r="F91">
        <v>32</v>
      </c>
      <c r="G91">
        <v>63</v>
      </c>
      <c r="H91">
        <v>4</v>
      </c>
      <c r="I91">
        <v>32.5</v>
      </c>
      <c r="J91" t="s">
        <v>17</v>
      </c>
      <c r="K91">
        <v>2.2000000000000002</v>
      </c>
      <c r="L91">
        <v>26.5</v>
      </c>
      <c r="M91" t="s">
        <v>18</v>
      </c>
      <c r="N91">
        <f>AVERAGEIF(Raw_Data!A:A, Raw_Data!A91, Raw_Data!D:D)</f>
        <v>7.5260869565217385</v>
      </c>
      <c r="O91" t="str">
        <f t="shared" si="1"/>
        <v>Medium Solar</v>
      </c>
    </row>
    <row r="92" spans="1:15">
      <c r="A92" t="s">
        <v>24</v>
      </c>
      <c r="B92">
        <v>9.6999999999999993</v>
      </c>
      <c r="C92">
        <v>1118</v>
      </c>
      <c r="D92">
        <v>9.6999999999999993</v>
      </c>
      <c r="E92" t="s">
        <v>28</v>
      </c>
      <c r="F92">
        <v>38</v>
      </c>
      <c r="G92">
        <v>90</v>
      </c>
      <c r="H92">
        <v>5</v>
      </c>
      <c r="I92">
        <v>23</v>
      </c>
      <c r="J92" t="s">
        <v>17</v>
      </c>
      <c r="K92">
        <v>3.9</v>
      </c>
      <c r="L92">
        <v>47</v>
      </c>
      <c r="M92" t="s">
        <v>18</v>
      </c>
      <c r="N92">
        <f>AVERAGEIF(Raw_Data!A:A, Raw_Data!A92, Raw_Data!D:D)</f>
        <v>7.0352941176470587</v>
      </c>
      <c r="O92" t="str">
        <f t="shared" si="1"/>
        <v>High Solar</v>
      </c>
    </row>
    <row r="93" spans="1:15">
      <c r="A93" t="s">
        <v>29</v>
      </c>
      <c r="B93">
        <v>5</v>
      </c>
      <c r="C93">
        <v>333</v>
      </c>
      <c r="D93">
        <v>7.7</v>
      </c>
      <c r="E93" t="s">
        <v>20</v>
      </c>
      <c r="F93">
        <v>38</v>
      </c>
      <c r="G93">
        <v>84</v>
      </c>
      <c r="H93">
        <v>2</v>
      </c>
      <c r="I93">
        <v>29</v>
      </c>
      <c r="J93" t="s">
        <v>17</v>
      </c>
      <c r="K93">
        <v>1.6</v>
      </c>
      <c r="L93">
        <v>19.3</v>
      </c>
      <c r="M93" t="s">
        <v>18</v>
      </c>
      <c r="N93">
        <f>AVERAGEIF(Raw_Data!A:A, Raw_Data!A93, Raw_Data!D:D)</f>
        <v>7.0571428571428561</v>
      </c>
      <c r="O93" t="str">
        <f t="shared" si="1"/>
        <v>High Solar</v>
      </c>
    </row>
    <row r="94" spans="1:15">
      <c r="A94" t="s">
        <v>33</v>
      </c>
      <c r="B94">
        <v>19.3</v>
      </c>
      <c r="C94">
        <v>2860</v>
      </c>
      <c r="D94">
        <v>7.6</v>
      </c>
      <c r="E94" t="s">
        <v>28</v>
      </c>
      <c r="F94">
        <v>37</v>
      </c>
      <c r="G94">
        <v>88</v>
      </c>
      <c r="H94">
        <v>6</v>
      </c>
      <c r="I94">
        <v>16</v>
      </c>
      <c r="J94" t="s">
        <v>17</v>
      </c>
      <c r="K94">
        <v>6.1</v>
      </c>
      <c r="L94">
        <v>73.3</v>
      </c>
      <c r="M94" t="s">
        <v>17</v>
      </c>
      <c r="N94">
        <f>AVERAGEIF(Raw_Data!A:A, Raw_Data!A94, Raw_Data!D:D)</f>
        <v>7.1129032258064528</v>
      </c>
      <c r="O94" t="str">
        <f t="shared" si="1"/>
        <v>High Solar</v>
      </c>
    </row>
    <row r="95" spans="1:15">
      <c r="A95" t="s">
        <v>36</v>
      </c>
      <c r="B95">
        <v>4.5999999999999996</v>
      </c>
      <c r="C95">
        <v>389</v>
      </c>
      <c r="D95">
        <v>5.0999999999999996</v>
      </c>
      <c r="E95" t="s">
        <v>23</v>
      </c>
      <c r="F95">
        <v>27</v>
      </c>
      <c r="G95">
        <v>47</v>
      </c>
      <c r="H95">
        <v>2</v>
      </c>
      <c r="I95">
        <v>47.5</v>
      </c>
      <c r="J95" t="s">
        <v>18</v>
      </c>
      <c r="K95">
        <v>1</v>
      </c>
      <c r="L95">
        <v>11.7</v>
      </c>
      <c r="M95" t="s">
        <v>21</v>
      </c>
      <c r="N95">
        <f>AVERAGEIF(Raw_Data!A:A, Raw_Data!A95, Raw_Data!D:D)</f>
        <v>7.5260869565217385</v>
      </c>
      <c r="O95" t="str">
        <f t="shared" si="1"/>
        <v>Low Solar</v>
      </c>
    </row>
    <row r="96" spans="1:15">
      <c r="A96" t="s">
        <v>35</v>
      </c>
      <c r="B96">
        <v>21.4</v>
      </c>
      <c r="C96">
        <v>3612</v>
      </c>
      <c r="D96">
        <v>6</v>
      </c>
      <c r="E96" t="s">
        <v>23</v>
      </c>
      <c r="F96">
        <v>40</v>
      </c>
      <c r="G96">
        <v>71</v>
      </c>
      <c r="H96">
        <v>7</v>
      </c>
      <c r="I96">
        <v>22.5</v>
      </c>
      <c r="J96" t="s">
        <v>18</v>
      </c>
      <c r="K96">
        <v>5.4</v>
      </c>
      <c r="L96">
        <v>64.2</v>
      </c>
      <c r="M96" t="s">
        <v>17</v>
      </c>
      <c r="N96">
        <f>AVERAGEIF(Raw_Data!A:A, Raw_Data!A96, Raw_Data!D:D)</f>
        <v>7.4206896551724144</v>
      </c>
      <c r="O96" t="str">
        <f t="shared" si="1"/>
        <v>High Solar</v>
      </c>
    </row>
    <row r="97" spans="1:15">
      <c r="A97" t="s">
        <v>37</v>
      </c>
      <c r="B97">
        <v>1.4</v>
      </c>
      <c r="C97">
        <v>663</v>
      </c>
      <c r="D97">
        <v>5.0999999999999996</v>
      </c>
      <c r="E97" t="s">
        <v>20</v>
      </c>
      <c r="F97">
        <v>34</v>
      </c>
      <c r="G97">
        <v>60</v>
      </c>
      <c r="H97">
        <v>3</v>
      </c>
      <c r="I97">
        <v>43</v>
      </c>
      <c r="J97" t="s">
        <v>18</v>
      </c>
      <c r="K97">
        <v>0.3</v>
      </c>
      <c r="L97">
        <v>3.6</v>
      </c>
      <c r="M97" t="s">
        <v>18</v>
      </c>
      <c r="N97">
        <f>AVERAGEIF(Raw_Data!A:A, Raw_Data!A97, Raw_Data!D:D)</f>
        <v>6.7384615384615376</v>
      </c>
      <c r="O97" t="str">
        <f t="shared" si="1"/>
        <v>Medium Solar</v>
      </c>
    </row>
    <row r="98" spans="1:15">
      <c r="A98" t="s">
        <v>31</v>
      </c>
      <c r="B98">
        <v>7.2</v>
      </c>
      <c r="C98">
        <v>1673</v>
      </c>
      <c r="D98">
        <v>5.0999999999999996</v>
      </c>
      <c r="E98" t="s">
        <v>28</v>
      </c>
      <c r="F98">
        <v>34</v>
      </c>
      <c r="G98">
        <v>60</v>
      </c>
      <c r="H98">
        <v>7</v>
      </c>
      <c r="I98">
        <v>29</v>
      </c>
      <c r="J98" t="s">
        <v>18</v>
      </c>
      <c r="K98">
        <v>1.5</v>
      </c>
      <c r="L98">
        <v>18.399999999999999</v>
      </c>
      <c r="M98" t="s">
        <v>18</v>
      </c>
      <c r="N98">
        <f>AVERAGEIF(Raw_Data!A:A, Raw_Data!A98, Raw_Data!D:D)</f>
        <v>6.5849999999999991</v>
      </c>
      <c r="O98" t="str">
        <f t="shared" si="1"/>
        <v>Medium Solar</v>
      </c>
    </row>
    <row r="99" spans="1:15">
      <c r="A99" t="s">
        <v>35</v>
      </c>
      <c r="B99">
        <v>22.2</v>
      </c>
      <c r="C99">
        <v>2531</v>
      </c>
      <c r="D99">
        <v>7.7</v>
      </c>
      <c r="E99" t="s">
        <v>20</v>
      </c>
      <c r="F99">
        <v>38</v>
      </c>
      <c r="G99">
        <v>75</v>
      </c>
      <c r="H99">
        <v>6</v>
      </c>
      <c r="I99">
        <v>30.5</v>
      </c>
      <c r="J99" t="s">
        <v>17</v>
      </c>
      <c r="K99">
        <v>7.1</v>
      </c>
      <c r="L99">
        <v>85.5</v>
      </c>
      <c r="M99" t="s">
        <v>17</v>
      </c>
      <c r="N99">
        <f>AVERAGEIF(Raw_Data!A:A, Raw_Data!A99, Raw_Data!D:D)</f>
        <v>7.4206896551724144</v>
      </c>
      <c r="O99" t="str">
        <f t="shared" si="1"/>
        <v>High Solar</v>
      </c>
    </row>
    <row r="100" spans="1:15">
      <c r="A100" t="s">
        <v>25</v>
      </c>
      <c r="B100">
        <v>5.4</v>
      </c>
      <c r="C100">
        <v>1723</v>
      </c>
      <c r="D100">
        <v>7.1</v>
      </c>
      <c r="E100" t="s">
        <v>20</v>
      </c>
      <c r="F100">
        <v>34</v>
      </c>
      <c r="G100">
        <v>79</v>
      </c>
      <c r="H100">
        <v>7</v>
      </c>
      <c r="I100">
        <v>17.5</v>
      </c>
      <c r="J100" t="s">
        <v>17</v>
      </c>
      <c r="K100">
        <v>1.6</v>
      </c>
      <c r="L100">
        <v>19.2</v>
      </c>
      <c r="M100" t="s">
        <v>17</v>
      </c>
      <c r="N100">
        <f>AVERAGEIF(Raw_Data!A:A, Raw_Data!A100, Raw_Data!D:D)</f>
        <v>7.0823529411764703</v>
      </c>
      <c r="O100" t="str">
        <f t="shared" si="1"/>
        <v>High Solar</v>
      </c>
    </row>
    <row r="101" spans="1:15">
      <c r="A101" t="s">
        <v>27</v>
      </c>
      <c r="B101">
        <v>6.8</v>
      </c>
      <c r="C101">
        <v>1943</v>
      </c>
      <c r="D101">
        <v>6.4</v>
      </c>
      <c r="E101" t="s">
        <v>23</v>
      </c>
      <c r="F101">
        <v>29</v>
      </c>
      <c r="G101">
        <v>50</v>
      </c>
      <c r="H101">
        <v>7</v>
      </c>
      <c r="I101">
        <v>38</v>
      </c>
      <c r="J101" t="s">
        <v>17</v>
      </c>
      <c r="K101">
        <v>1.8</v>
      </c>
      <c r="L101">
        <v>21.8</v>
      </c>
      <c r="M101" t="s">
        <v>21</v>
      </c>
      <c r="N101">
        <f>AVERAGEIF(Raw_Data!A:A, Raw_Data!A101, Raw_Data!D:D)</f>
        <v>6.8347826086956527</v>
      </c>
      <c r="O101" t="str">
        <f t="shared" si="1"/>
        <v>Medium Solar</v>
      </c>
    </row>
    <row r="102" spans="1:15">
      <c r="A102" t="s">
        <v>27</v>
      </c>
      <c r="B102">
        <v>8.9</v>
      </c>
      <c r="C102">
        <v>1033</v>
      </c>
      <c r="D102">
        <v>6.4</v>
      </c>
      <c r="E102" t="s">
        <v>20</v>
      </c>
      <c r="F102">
        <v>29</v>
      </c>
      <c r="G102">
        <v>40</v>
      </c>
      <c r="H102">
        <v>6</v>
      </c>
      <c r="I102">
        <v>44</v>
      </c>
      <c r="J102" t="s">
        <v>17</v>
      </c>
      <c r="K102">
        <v>2.4</v>
      </c>
      <c r="L102">
        <v>28.5</v>
      </c>
      <c r="M102" t="s">
        <v>21</v>
      </c>
      <c r="N102">
        <f>AVERAGEIF(Raw_Data!A:A, Raw_Data!A102, Raw_Data!D:D)</f>
        <v>6.8347826086956527</v>
      </c>
      <c r="O102" t="str">
        <f t="shared" si="1"/>
        <v>Low Solar</v>
      </c>
    </row>
    <row r="103" spans="1:15">
      <c r="A103" t="s">
        <v>15</v>
      </c>
      <c r="B103">
        <v>11.7</v>
      </c>
      <c r="C103">
        <v>4134</v>
      </c>
      <c r="D103">
        <v>6.8</v>
      </c>
      <c r="E103" t="s">
        <v>28</v>
      </c>
      <c r="F103">
        <v>32</v>
      </c>
      <c r="G103">
        <v>79</v>
      </c>
      <c r="H103">
        <v>9</v>
      </c>
      <c r="I103">
        <v>16.5</v>
      </c>
      <c r="J103" t="s">
        <v>17</v>
      </c>
      <c r="K103">
        <v>3.3</v>
      </c>
      <c r="L103">
        <v>39.799999999999997</v>
      </c>
      <c r="M103" t="s">
        <v>17</v>
      </c>
      <c r="N103">
        <f>AVERAGEIF(Raw_Data!A:A, Raw_Data!A103, Raw_Data!D:D)</f>
        <v>7.1264705882352937</v>
      </c>
      <c r="O103" t="str">
        <f t="shared" si="1"/>
        <v>High Solar</v>
      </c>
    </row>
    <row r="104" spans="1:15">
      <c r="A104" t="s">
        <v>24</v>
      </c>
      <c r="B104">
        <v>6.5</v>
      </c>
      <c r="C104">
        <v>1166</v>
      </c>
      <c r="D104">
        <v>8.4</v>
      </c>
      <c r="E104" t="s">
        <v>23</v>
      </c>
      <c r="F104">
        <v>29</v>
      </c>
      <c r="G104">
        <v>55</v>
      </c>
      <c r="H104">
        <v>7</v>
      </c>
      <c r="I104">
        <v>28.5</v>
      </c>
      <c r="J104" t="s">
        <v>17</v>
      </c>
      <c r="K104">
        <v>2.2999999999999998</v>
      </c>
      <c r="L104">
        <v>27.3</v>
      </c>
      <c r="M104" t="s">
        <v>18</v>
      </c>
      <c r="N104">
        <f>AVERAGEIF(Raw_Data!A:A, Raw_Data!A104, Raw_Data!D:D)</f>
        <v>7.0352941176470587</v>
      </c>
      <c r="O104" t="str">
        <f t="shared" si="1"/>
        <v>Medium Solar</v>
      </c>
    </row>
    <row r="105" spans="1:15">
      <c r="A105" t="s">
        <v>31</v>
      </c>
      <c r="B105">
        <v>7.3</v>
      </c>
      <c r="C105">
        <v>1897</v>
      </c>
      <c r="D105">
        <v>6.5</v>
      </c>
      <c r="E105" t="s">
        <v>28</v>
      </c>
      <c r="F105">
        <v>30</v>
      </c>
      <c r="G105">
        <v>62</v>
      </c>
      <c r="H105">
        <v>6</v>
      </c>
      <c r="I105">
        <v>29</v>
      </c>
      <c r="J105" t="s">
        <v>17</v>
      </c>
      <c r="K105">
        <v>2</v>
      </c>
      <c r="L105">
        <v>23.7</v>
      </c>
      <c r="M105" t="s">
        <v>18</v>
      </c>
      <c r="N105">
        <f>AVERAGEIF(Raw_Data!A:A, Raw_Data!A105, Raw_Data!D:D)</f>
        <v>6.5849999999999991</v>
      </c>
      <c r="O105" t="str">
        <f t="shared" si="1"/>
        <v>Medium Solar</v>
      </c>
    </row>
    <row r="106" spans="1:15">
      <c r="A106" t="s">
        <v>27</v>
      </c>
      <c r="B106">
        <v>20</v>
      </c>
      <c r="C106">
        <v>2855</v>
      </c>
      <c r="D106">
        <v>8.3000000000000007</v>
      </c>
      <c r="E106" t="s">
        <v>16</v>
      </c>
      <c r="F106">
        <v>35</v>
      </c>
      <c r="G106">
        <v>59</v>
      </c>
      <c r="H106">
        <v>7</v>
      </c>
      <c r="I106">
        <v>32.5</v>
      </c>
      <c r="J106" t="s">
        <v>17</v>
      </c>
      <c r="K106">
        <v>6.9</v>
      </c>
      <c r="L106">
        <v>83</v>
      </c>
      <c r="M106" t="s">
        <v>18</v>
      </c>
      <c r="N106">
        <f>AVERAGEIF(Raw_Data!A:A, Raw_Data!A106, Raw_Data!D:D)</f>
        <v>6.8347826086956527</v>
      </c>
      <c r="O106" t="str">
        <f t="shared" si="1"/>
        <v>Medium Solar</v>
      </c>
    </row>
    <row r="107" spans="1:15">
      <c r="A107" t="s">
        <v>35</v>
      </c>
      <c r="B107">
        <v>23.8</v>
      </c>
      <c r="C107">
        <v>4058</v>
      </c>
      <c r="D107">
        <v>9</v>
      </c>
      <c r="E107" t="s">
        <v>23</v>
      </c>
      <c r="F107">
        <v>40</v>
      </c>
      <c r="G107">
        <v>95</v>
      </c>
      <c r="H107">
        <v>7</v>
      </c>
      <c r="I107">
        <v>15.5</v>
      </c>
      <c r="J107" t="s">
        <v>17</v>
      </c>
      <c r="K107">
        <v>8.9</v>
      </c>
      <c r="L107">
        <v>107.1</v>
      </c>
      <c r="M107" t="s">
        <v>17</v>
      </c>
      <c r="N107">
        <f>AVERAGEIF(Raw_Data!A:A, Raw_Data!A107, Raw_Data!D:D)</f>
        <v>7.4206896551724144</v>
      </c>
      <c r="O107" t="str">
        <f t="shared" si="1"/>
        <v>High Solar</v>
      </c>
    </row>
    <row r="108" spans="1:15">
      <c r="A108" t="s">
        <v>22</v>
      </c>
      <c r="B108">
        <v>1.2</v>
      </c>
      <c r="C108">
        <v>688</v>
      </c>
      <c r="D108">
        <v>10.3</v>
      </c>
      <c r="E108" t="s">
        <v>20</v>
      </c>
      <c r="F108">
        <v>42</v>
      </c>
      <c r="G108">
        <v>79</v>
      </c>
      <c r="H108">
        <v>5</v>
      </c>
      <c r="I108">
        <v>25.5</v>
      </c>
      <c r="J108" t="s">
        <v>32</v>
      </c>
      <c r="K108">
        <v>0.5</v>
      </c>
      <c r="L108">
        <v>6.2</v>
      </c>
      <c r="M108" t="s">
        <v>18</v>
      </c>
      <c r="N108">
        <f>AVERAGEIF(Raw_Data!A:A, Raw_Data!A108, Raw_Data!D:D)</f>
        <v>7.0051282051282051</v>
      </c>
      <c r="O108" t="str">
        <f t="shared" si="1"/>
        <v>High Solar</v>
      </c>
    </row>
    <row r="109" spans="1:15">
      <c r="A109" t="s">
        <v>24</v>
      </c>
      <c r="B109">
        <v>10.3</v>
      </c>
      <c r="C109">
        <v>4668</v>
      </c>
      <c r="D109">
        <v>7.3</v>
      </c>
      <c r="E109" t="s">
        <v>28</v>
      </c>
      <c r="F109">
        <v>42</v>
      </c>
      <c r="G109">
        <v>77</v>
      </c>
      <c r="H109">
        <v>6</v>
      </c>
      <c r="I109">
        <v>21.5</v>
      </c>
      <c r="J109" t="s">
        <v>17</v>
      </c>
      <c r="K109">
        <v>3.1</v>
      </c>
      <c r="L109">
        <v>37.6</v>
      </c>
      <c r="M109" t="s">
        <v>17</v>
      </c>
      <c r="N109">
        <f>AVERAGEIF(Raw_Data!A:A, Raw_Data!A109, Raw_Data!D:D)</f>
        <v>7.0352941176470587</v>
      </c>
      <c r="O109" t="str">
        <f t="shared" si="1"/>
        <v>High Solar</v>
      </c>
    </row>
    <row r="110" spans="1:15">
      <c r="A110" t="s">
        <v>30</v>
      </c>
      <c r="B110">
        <v>14.6</v>
      </c>
      <c r="C110">
        <v>2547</v>
      </c>
      <c r="D110">
        <v>9</v>
      </c>
      <c r="E110" t="s">
        <v>23</v>
      </c>
      <c r="F110">
        <v>40</v>
      </c>
      <c r="G110">
        <v>73</v>
      </c>
      <c r="H110">
        <v>9</v>
      </c>
      <c r="I110">
        <v>17.5</v>
      </c>
      <c r="J110" t="s">
        <v>17</v>
      </c>
      <c r="K110">
        <v>5.5</v>
      </c>
      <c r="L110">
        <v>65.7</v>
      </c>
      <c r="M110" t="s">
        <v>17</v>
      </c>
      <c r="N110">
        <f>AVERAGEIF(Raw_Data!A:A, Raw_Data!A110, Raw_Data!D:D)</f>
        <v>7</v>
      </c>
      <c r="O110" t="str">
        <f t="shared" si="1"/>
        <v>High Solar</v>
      </c>
    </row>
    <row r="111" spans="1:15">
      <c r="A111" t="s">
        <v>22</v>
      </c>
      <c r="B111">
        <v>1.7</v>
      </c>
      <c r="C111">
        <v>650</v>
      </c>
      <c r="D111">
        <v>7.2</v>
      </c>
      <c r="E111" t="s">
        <v>16</v>
      </c>
      <c r="F111">
        <v>28</v>
      </c>
      <c r="G111">
        <v>44</v>
      </c>
      <c r="H111">
        <v>2</v>
      </c>
      <c r="I111">
        <v>44</v>
      </c>
      <c r="J111" t="s">
        <v>17</v>
      </c>
      <c r="K111">
        <v>0.5</v>
      </c>
      <c r="L111">
        <v>6.1</v>
      </c>
      <c r="M111" t="s">
        <v>21</v>
      </c>
      <c r="N111">
        <f>AVERAGEIF(Raw_Data!A:A, Raw_Data!A111, Raw_Data!D:D)</f>
        <v>7.0051282051282051</v>
      </c>
      <c r="O111" t="str">
        <f t="shared" si="1"/>
        <v>Low Solar</v>
      </c>
    </row>
    <row r="112" spans="1:15">
      <c r="A112" t="s">
        <v>34</v>
      </c>
      <c r="B112">
        <v>14.1</v>
      </c>
      <c r="C112">
        <v>2624</v>
      </c>
      <c r="D112">
        <v>8</v>
      </c>
      <c r="E112" t="s">
        <v>20</v>
      </c>
      <c r="F112">
        <v>33</v>
      </c>
      <c r="G112">
        <v>67</v>
      </c>
      <c r="H112">
        <v>9</v>
      </c>
      <c r="I112">
        <v>19.5</v>
      </c>
      <c r="J112" t="s">
        <v>17</v>
      </c>
      <c r="K112">
        <v>4.7</v>
      </c>
      <c r="L112">
        <v>56.4</v>
      </c>
      <c r="M112" t="s">
        <v>18</v>
      </c>
      <c r="N112">
        <f>AVERAGEIF(Raw_Data!A:A, Raw_Data!A112, Raw_Data!D:D)</f>
        <v>7.4411764705882346</v>
      </c>
      <c r="O112" t="str">
        <f t="shared" si="1"/>
        <v>Medium Solar</v>
      </c>
    </row>
    <row r="113" spans="1:15">
      <c r="A113" t="s">
        <v>22</v>
      </c>
      <c r="B113">
        <v>23.5</v>
      </c>
      <c r="C113">
        <v>2153</v>
      </c>
      <c r="D113">
        <v>4.2</v>
      </c>
      <c r="E113" t="s">
        <v>28</v>
      </c>
      <c r="F113">
        <v>28</v>
      </c>
      <c r="G113">
        <v>31</v>
      </c>
      <c r="H113">
        <v>9</v>
      </c>
      <c r="I113">
        <v>43.5</v>
      </c>
      <c r="J113" t="s">
        <v>18</v>
      </c>
      <c r="K113">
        <v>4.0999999999999996</v>
      </c>
      <c r="L113">
        <v>49.4</v>
      </c>
      <c r="M113" t="s">
        <v>21</v>
      </c>
      <c r="N113">
        <f>AVERAGEIF(Raw_Data!A:A, Raw_Data!A113, Raw_Data!D:D)</f>
        <v>7.0051282051282051</v>
      </c>
      <c r="O113" t="str">
        <f t="shared" si="1"/>
        <v>Low Solar</v>
      </c>
    </row>
    <row r="114" spans="1:15">
      <c r="A114" t="s">
        <v>37</v>
      </c>
      <c r="B114">
        <v>2.1</v>
      </c>
      <c r="C114">
        <v>704</v>
      </c>
      <c r="D114">
        <v>5.2</v>
      </c>
      <c r="E114" t="s">
        <v>16</v>
      </c>
      <c r="F114">
        <v>28</v>
      </c>
      <c r="G114">
        <v>43</v>
      </c>
      <c r="H114">
        <v>2</v>
      </c>
      <c r="I114">
        <v>54.5</v>
      </c>
      <c r="J114" t="s">
        <v>18</v>
      </c>
      <c r="K114">
        <v>0.5</v>
      </c>
      <c r="L114">
        <v>5.5</v>
      </c>
      <c r="M114" t="s">
        <v>21</v>
      </c>
      <c r="N114">
        <f>AVERAGEIF(Raw_Data!A:A, Raw_Data!A114, Raw_Data!D:D)</f>
        <v>6.7384615384615376</v>
      </c>
      <c r="O114" t="str">
        <f t="shared" si="1"/>
        <v>Low Solar</v>
      </c>
    </row>
    <row r="115" spans="1:15">
      <c r="A115" t="s">
        <v>19</v>
      </c>
      <c r="B115">
        <v>10.199999999999999</v>
      </c>
      <c r="C115">
        <v>2527</v>
      </c>
      <c r="D115">
        <v>9.3000000000000007</v>
      </c>
      <c r="E115" t="s">
        <v>28</v>
      </c>
      <c r="F115">
        <v>35</v>
      </c>
      <c r="G115">
        <v>76</v>
      </c>
      <c r="H115">
        <v>6</v>
      </c>
      <c r="I115">
        <v>29</v>
      </c>
      <c r="J115" t="s">
        <v>17</v>
      </c>
      <c r="K115">
        <v>4</v>
      </c>
      <c r="L115">
        <v>47.4</v>
      </c>
      <c r="M115" t="s">
        <v>17</v>
      </c>
      <c r="N115">
        <f>AVERAGEIF(Raw_Data!A:A, Raw_Data!A115, Raw_Data!D:D)</f>
        <v>6.8899999999999988</v>
      </c>
      <c r="O115" t="str">
        <f t="shared" si="1"/>
        <v>High Solar</v>
      </c>
    </row>
    <row r="116" spans="1:15">
      <c r="A116" t="s">
        <v>37</v>
      </c>
      <c r="B116">
        <v>19.5</v>
      </c>
      <c r="C116">
        <v>4911</v>
      </c>
      <c r="D116">
        <v>8.1</v>
      </c>
      <c r="E116" t="s">
        <v>16</v>
      </c>
      <c r="F116">
        <v>34</v>
      </c>
      <c r="G116">
        <v>73</v>
      </c>
      <c r="H116">
        <v>7</v>
      </c>
      <c r="I116">
        <v>19.5</v>
      </c>
      <c r="J116" t="s">
        <v>17</v>
      </c>
      <c r="K116">
        <v>6.6</v>
      </c>
      <c r="L116">
        <v>79</v>
      </c>
      <c r="M116" t="s">
        <v>17</v>
      </c>
      <c r="N116">
        <f>AVERAGEIF(Raw_Data!A:A, Raw_Data!A116, Raw_Data!D:D)</f>
        <v>6.7384615384615376</v>
      </c>
      <c r="O116" t="str">
        <f t="shared" si="1"/>
        <v>High Solar</v>
      </c>
    </row>
    <row r="117" spans="1:15">
      <c r="A117" t="s">
        <v>29</v>
      </c>
      <c r="B117">
        <v>6.7</v>
      </c>
      <c r="C117">
        <v>1874</v>
      </c>
      <c r="D117">
        <v>7.1</v>
      </c>
      <c r="E117" t="s">
        <v>23</v>
      </c>
      <c r="F117">
        <v>27</v>
      </c>
      <c r="G117">
        <v>47</v>
      </c>
      <c r="H117">
        <v>5</v>
      </c>
      <c r="I117">
        <v>42.5</v>
      </c>
      <c r="J117" t="s">
        <v>17</v>
      </c>
      <c r="K117">
        <v>2</v>
      </c>
      <c r="L117">
        <v>23.8</v>
      </c>
      <c r="M117" t="s">
        <v>21</v>
      </c>
      <c r="N117">
        <f>AVERAGEIF(Raw_Data!A:A, Raw_Data!A117, Raw_Data!D:D)</f>
        <v>7.0571428571428561</v>
      </c>
      <c r="O117" t="str">
        <f t="shared" si="1"/>
        <v>Low Solar</v>
      </c>
    </row>
    <row r="118" spans="1:15">
      <c r="A118" t="s">
        <v>19</v>
      </c>
      <c r="B118">
        <v>15.2</v>
      </c>
      <c r="C118">
        <v>4699</v>
      </c>
      <c r="D118">
        <v>8.4</v>
      </c>
      <c r="E118" t="s">
        <v>20</v>
      </c>
      <c r="F118">
        <v>29</v>
      </c>
      <c r="G118">
        <v>47</v>
      </c>
      <c r="H118">
        <v>7</v>
      </c>
      <c r="I118">
        <v>34.5</v>
      </c>
      <c r="J118" t="s">
        <v>17</v>
      </c>
      <c r="K118">
        <v>5.3</v>
      </c>
      <c r="L118">
        <v>63.8</v>
      </c>
      <c r="M118" t="s">
        <v>21</v>
      </c>
      <c r="N118">
        <f>AVERAGEIF(Raw_Data!A:A, Raw_Data!A118, Raw_Data!D:D)</f>
        <v>6.8899999999999988</v>
      </c>
      <c r="O118" t="str">
        <f t="shared" si="1"/>
        <v>Low Solar</v>
      </c>
    </row>
    <row r="119" spans="1:15">
      <c r="A119" t="s">
        <v>15</v>
      </c>
      <c r="B119">
        <v>4.5999999999999996</v>
      </c>
      <c r="C119">
        <v>569</v>
      </c>
      <c r="D119">
        <v>6.7</v>
      </c>
      <c r="E119" t="s">
        <v>23</v>
      </c>
      <c r="F119">
        <v>38</v>
      </c>
      <c r="G119">
        <v>76</v>
      </c>
      <c r="H119">
        <v>2</v>
      </c>
      <c r="I119">
        <v>32</v>
      </c>
      <c r="J119" t="s">
        <v>17</v>
      </c>
      <c r="K119">
        <v>1.3</v>
      </c>
      <c r="L119">
        <v>15.4</v>
      </c>
      <c r="M119" t="s">
        <v>18</v>
      </c>
      <c r="N119">
        <f>AVERAGEIF(Raw_Data!A:A, Raw_Data!A119, Raw_Data!D:D)</f>
        <v>7.1264705882352937</v>
      </c>
      <c r="O119" t="str">
        <f t="shared" si="1"/>
        <v>High Solar</v>
      </c>
    </row>
    <row r="120" spans="1:15">
      <c r="A120" t="s">
        <v>27</v>
      </c>
      <c r="B120">
        <v>7.3</v>
      </c>
      <c r="C120">
        <v>907</v>
      </c>
      <c r="D120">
        <v>5.7</v>
      </c>
      <c r="E120" t="s">
        <v>16</v>
      </c>
      <c r="F120">
        <v>38</v>
      </c>
      <c r="G120">
        <v>74</v>
      </c>
      <c r="H120">
        <v>7</v>
      </c>
      <c r="I120">
        <v>29</v>
      </c>
      <c r="J120" t="s">
        <v>18</v>
      </c>
      <c r="K120">
        <v>1.7</v>
      </c>
      <c r="L120">
        <v>20.8</v>
      </c>
      <c r="M120" t="s">
        <v>17</v>
      </c>
      <c r="N120">
        <f>AVERAGEIF(Raw_Data!A:A, Raw_Data!A120, Raw_Data!D:D)</f>
        <v>6.8347826086956527</v>
      </c>
      <c r="O120" t="str">
        <f t="shared" si="1"/>
        <v>High Solar</v>
      </c>
    </row>
    <row r="121" spans="1:15">
      <c r="A121" t="s">
        <v>26</v>
      </c>
      <c r="B121">
        <v>9.8000000000000007</v>
      </c>
      <c r="C121">
        <v>1311</v>
      </c>
      <c r="D121">
        <v>8.6999999999999993</v>
      </c>
      <c r="E121" t="s">
        <v>16</v>
      </c>
      <c r="F121">
        <v>31</v>
      </c>
      <c r="G121">
        <v>55</v>
      </c>
      <c r="H121">
        <v>7</v>
      </c>
      <c r="I121">
        <v>38.5</v>
      </c>
      <c r="J121" t="s">
        <v>17</v>
      </c>
      <c r="K121">
        <v>3.6</v>
      </c>
      <c r="L121">
        <v>42.6</v>
      </c>
      <c r="M121" t="s">
        <v>18</v>
      </c>
      <c r="N121">
        <f>AVERAGEIF(Raw_Data!A:A, Raw_Data!A121, Raw_Data!D:D)</f>
        <v>6.9771428571428586</v>
      </c>
      <c r="O121" t="str">
        <f t="shared" si="1"/>
        <v>Medium Solar</v>
      </c>
    </row>
    <row r="122" spans="1:15">
      <c r="A122" t="s">
        <v>22</v>
      </c>
      <c r="B122">
        <v>23.9</v>
      </c>
      <c r="C122">
        <v>3279</v>
      </c>
      <c r="D122">
        <v>7.4</v>
      </c>
      <c r="E122" t="s">
        <v>16</v>
      </c>
      <c r="F122">
        <v>29</v>
      </c>
      <c r="G122">
        <v>36</v>
      </c>
      <c r="H122">
        <v>9</v>
      </c>
      <c r="I122">
        <v>40</v>
      </c>
      <c r="J122" t="s">
        <v>17</v>
      </c>
      <c r="K122">
        <v>7.4</v>
      </c>
      <c r="L122">
        <v>88.4</v>
      </c>
      <c r="M122" t="s">
        <v>21</v>
      </c>
      <c r="N122">
        <f>AVERAGEIF(Raw_Data!A:A, Raw_Data!A122, Raw_Data!D:D)</f>
        <v>7.0051282051282051</v>
      </c>
      <c r="O122" t="str">
        <f t="shared" si="1"/>
        <v>Low Solar</v>
      </c>
    </row>
    <row r="123" spans="1:15">
      <c r="A123" t="s">
        <v>31</v>
      </c>
      <c r="B123">
        <v>2.4</v>
      </c>
      <c r="C123">
        <v>735</v>
      </c>
      <c r="D123">
        <v>5.2</v>
      </c>
      <c r="E123" t="s">
        <v>20</v>
      </c>
      <c r="F123">
        <v>28</v>
      </c>
      <c r="G123">
        <v>58</v>
      </c>
      <c r="H123">
        <v>5</v>
      </c>
      <c r="I123">
        <v>34</v>
      </c>
      <c r="J123" t="s">
        <v>18</v>
      </c>
      <c r="K123">
        <v>0.5</v>
      </c>
      <c r="L123">
        <v>6.2</v>
      </c>
      <c r="M123" t="s">
        <v>18</v>
      </c>
      <c r="N123">
        <f>AVERAGEIF(Raw_Data!A:A, Raw_Data!A123, Raw_Data!D:D)</f>
        <v>6.5849999999999991</v>
      </c>
      <c r="O123" t="str">
        <f t="shared" si="1"/>
        <v>Medium Solar</v>
      </c>
    </row>
    <row r="124" spans="1:15">
      <c r="A124" t="s">
        <v>19</v>
      </c>
      <c r="B124">
        <v>7.9</v>
      </c>
      <c r="C124">
        <v>1278</v>
      </c>
      <c r="D124">
        <v>4.5</v>
      </c>
      <c r="E124" t="s">
        <v>20</v>
      </c>
      <c r="F124">
        <v>30</v>
      </c>
      <c r="G124">
        <v>64</v>
      </c>
      <c r="H124">
        <v>6</v>
      </c>
      <c r="I124">
        <v>31</v>
      </c>
      <c r="J124" t="s">
        <v>18</v>
      </c>
      <c r="K124">
        <v>1.5</v>
      </c>
      <c r="L124">
        <v>17.8</v>
      </c>
      <c r="M124" t="s">
        <v>18</v>
      </c>
      <c r="N124">
        <f>AVERAGEIF(Raw_Data!A:A, Raw_Data!A124, Raw_Data!D:D)</f>
        <v>6.8899999999999988</v>
      </c>
      <c r="O124" t="str">
        <f t="shared" si="1"/>
        <v>Medium Solar</v>
      </c>
    </row>
    <row r="125" spans="1:15">
      <c r="A125" t="s">
        <v>34</v>
      </c>
      <c r="B125">
        <v>21.4</v>
      </c>
      <c r="C125">
        <v>2392</v>
      </c>
      <c r="D125">
        <v>9</v>
      </c>
      <c r="E125" t="s">
        <v>20</v>
      </c>
      <c r="F125">
        <v>40</v>
      </c>
      <c r="G125">
        <v>83</v>
      </c>
      <c r="H125">
        <v>7</v>
      </c>
      <c r="I125">
        <v>22.5</v>
      </c>
      <c r="J125" t="s">
        <v>17</v>
      </c>
      <c r="K125">
        <v>8</v>
      </c>
      <c r="L125">
        <v>96.3</v>
      </c>
      <c r="M125" t="s">
        <v>17</v>
      </c>
      <c r="N125">
        <f>AVERAGEIF(Raw_Data!A:A, Raw_Data!A125, Raw_Data!D:D)</f>
        <v>7.4411764705882346</v>
      </c>
      <c r="O125" t="str">
        <f t="shared" si="1"/>
        <v>High Solar</v>
      </c>
    </row>
    <row r="126" spans="1:15">
      <c r="A126" t="s">
        <v>30</v>
      </c>
      <c r="B126">
        <v>17.899999999999999</v>
      </c>
      <c r="C126">
        <v>4811</v>
      </c>
      <c r="D126">
        <v>10.3</v>
      </c>
      <c r="E126" t="s">
        <v>20</v>
      </c>
      <c r="F126">
        <v>42</v>
      </c>
      <c r="G126">
        <v>73</v>
      </c>
      <c r="H126">
        <v>8</v>
      </c>
      <c r="I126">
        <v>23.5</v>
      </c>
      <c r="J126" t="s">
        <v>32</v>
      </c>
      <c r="K126">
        <v>7.7</v>
      </c>
      <c r="L126">
        <v>92.2</v>
      </c>
      <c r="M126" t="s">
        <v>17</v>
      </c>
      <c r="N126">
        <f>AVERAGEIF(Raw_Data!A:A, Raw_Data!A126, Raw_Data!D:D)</f>
        <v>7</v>
      </c>
      <c r="O126" t="str">
        <f t="shared" si="1"/>
        <v>High Solar</v>
      </c>
    </row>
    <row r="127" spans="1:15">
      <c r="A127" t="s">
        <v>25</v>
      </c>
      <c r="B127">
        <v>12.7</v>
      </c>
      <c r="C127">
        <v>4617</v>
      </c>
      <c r="D127">
        <v>7.3</v>
      </c>
      <c r="E127" t="s">
        <v>20</v>
      </c>
      <c r="F127">
        <v>42</v>
      </c>
      <c r="G127">
        <v>95</v>
      </c>
      <c r="H127">
        <v>9</v>
      </c>
      <c r="I127">
        <v>10.5</v>
      </c>
      <c r="J127" t="s">
        <v>17</v>
      </c>
      <c r="K127">
        <v>3.9</v>
      </c>
      <c r="L127">
        <v>46.4</v>
      </c>
      <c r="M127" t="s">
        <v>17</v>
      </c>
      <c r="N127">
        <f>AVERAGEIF(Raw_Data!A:A, Raw_Data!A127, Raw_Data!D:D)</f>
        <v>7.0823529411764703</v>
      </c>
      <c r="O127" t="str">
        <f t="shared" si="1"/>
        <v>High Solar</v>
      </c>
    </row>
    <row r="128" spans="1:15">
      <c r="A128" t="s">
        <v>31</v>
      </c>
      <c r="B128">
        <v>7.4</v>
      </c>
      <c r="C128">
        <v>1517</v>
      </c>
      <c r="D128">
        <v>6.8</v>
      </c>
      <c r="E128" t="s">
        <v>28</v>
      </c>
      <c r="F128">
        <v>32</v>
      </c>
      <c r="G128">
        <v>58</v>
      </c>
      <c r="H128">
        <v>6</v>
      </c>
      <c r="I128">
        <v>39</v>
      </c>
      <c r="J128" t="s">
        <v>17</v>
      </c>
      <c r="K128">
        <v>2.1</v>
      </c>
      <c r="L128">
        <v>25.2</v>
      </c>
      <c r="M128" t="s">
        <v>18</v>
      </c>
      <c r="N128">
        <f>AVERAGEIF(Raw_Data!A:A, Raw_Data!A128, Raw_Data!D:D)</f>
        <v>6.5849999999999991</v>
      </c>
      <c r="O128" t="str">
        <f t="shared" si="1"/>
        <v>Medium Solar</v>
      </c>
    </row>
    <row r="129" spans="1:15">
      <c r="A129" t="s">
        <v>25</v>
      </c>
      <c r="B129">
        <v>10.1</v>
      </c>
      <c r="C129">
        <v>4848</v>
      </c>
      <c r="D129">
        <v>9.8000000000000007</v>
      </c>
      <c r="E129" t="s">
        <v>23</v>
      </c>
      <c r="F129">
        <v>45</v>
      </c>
      <c r="G129">
        <v>88</v>
      </c>
      <c r="H129">
        <v>6</v>
      </c>
      <c r="I129">
        <v>20</v>
      </c>
      <c r="J129" t="s">
        <v>17</v>
      </c>
      <c r="K129">
        <v>4.0999999999999996</v>
      </c>
      <c r="L129">
        <v>49.5</v>
      </c>
      <c r="M129" t="s">
        <v>17</v>
      </c>
      <c r="N129">
        <f>AVERAGEIF(Raw_Data!A:A, Raw_Data!A129, Raw_Data!D:D)</f>
        <v>7.0823529411764703</v>
      </c>
      <c r="O129" t="str">
        <f t="shared" si="1"/>
        <v>High Solar</v>
      </c>
    </row>
    <row r="130" spans="1:15">
      <c r="A130" t="s">
        <v>29</v>
      </c>
      <c r="B130">
        <v>10.4</v>
      </c>
      <c r="C130">
        <v>4485</v>
      </c>
      <c r="D130">
        <v>8.8000000000000007</v>
      </c>
      <c r="E130" t="s">
        <v>16</v>
      </c>
      <c r="F130">
        <v>32</v>
      </c>
      <c r="G130">
        <v>72</v>
      </c>
      <c r="H130">
        <v>6</v>
      </c>
      <c r="I130">
        <v>23</v>
      </c>
      <c r="J130" t="s">
        <v>17</v>
      </c>
      <c r="K130">
        <v>3.8</v>
      </c>
      <c r="L130">
        <v>45.8</v>
      </c>
      <c r="M130" t="s">
        <v>17</v>
      </c>
      <c r="N130">
        <f>AVERAGEIF(Raw_Data!A:A, Raw_Data!A130, Raw_Data!D:D)</f>
        <v>7.0571428571428561</v>
      </c>
      <c r="O130" t="str">
        <f t="shared" ref="O130:O193" si="2">IF(G130&gt;70, "High Solar", IF(G130&lt;50, "Low Solar", "Medium Solar"))</f>
        <v>High Solar</v>
      </c>
    </row>
    <row r="131" spans="1:15">
      <c r="A131" t="s">
        <v>19</v>
      </c>
      <c r="B131">
        <v>9.5</v>
      </c>
      <c r="C131">
        <v>1972</v>
      </c>
      <c r="D131">
        <v>8.5</v>
      </c>
      <c r="E131" t="s">
        <v>28</v>
      </c>
      <c r="F131">
        <v>30</v>
      </c>
      <c r="G131">
        <v>50</v>
      </c>
      <c r="H131">
        <v>5</v>
      </c>
      <c r="I131">
        <v>35</v>
      </c>
      <c r="J131" t="s">
        <v>17</v>
      </c>
      <c r="K131">
        <v>3.4</v>
      </c>
      <c r="L131">
        <v>40.4</v>
      </c>
      <c r="M131" t="s">
        <v>21</v>
      </c>
      <c r="N131">
        <f>AVERAGEIF(Raw_Data!A:A, Raw_Data!A131, Raw_Data!D:D)</f>
        <v>6.8899999999999988</v>
      </c>
      <c r="O131" t="str">
        <f t="shared" si="2"/>
        <v>Medium Solar</v>
      </c>
    </row>
    <row r="132" spans="1:15">
      <c r="A132" t="s">
        <v>29</v>
      </c>
      <c r="B132">
        <v>8</v>
      </c>
      <c r="C132">
        <v>1380</v>
      </c>
      <c r="D132">
        <v>8.6999999999999993</v>
      </c>
      <c r="E132" t="s">
        <v>20</v>
      </c>
      <c r="F132">
        <v>38</v>
      </c>
      <c r="G132">
        <v>73</v>
      </c>
      <c r="H132">
        <v>5</v>
      </c>
      <c r="I132">
        <v>29.5</v>
      </c>
      <c r="J132" t="s">
        <v>17</v>
      </c>
      <c r="K132">
        <v>2.9</v>
      </c>
      <c r="L132">
        <v>34.799999999999997</v>
      </c>
      <c r="M132" t="s">
        <v>18</v>
      </c>
      <c r="N132">
        <f>AVERAGEIF(Raw_Data!A:A, Raw_Data!A132, Raw_Data!D:D)</f>
        <v>7.0571428571428561</v>
      </c>
      <c r="O132" t="str">
        <f t="shared" si="2"/>
        <v>High Solar</v>
      </c>
    </row>
    <row r="133" spans="1:15">
      <c r="A133" t="s">
        <v>35</v>
      </c>
      <c r="B133">
        <v>24.7</v>
      </c>
      <c r="C133">
        <v>3743</v>
      </c>
      <c r="D133">
        <v>5.7</v>
      </c>
      <c r="E133" t="s">
        <v>16</v>
      </c>
      <c r="F133">
        <v>31</v>
      </c>
      <c r="G133">
        <v>69</v>
      </c>
      <c r="H133">
        <v>8</v>
      </c>
      <c r="I133">
        <v>27.5</v>
      </c>
      <c r="J133" t="s">
        <v>18</v>
      </c>
      <c r="K133">
        <v>5.9</v>
      </c>
      <c r="L133">
        <v>70.400000000000006</v>
      </c>
      <c r="M133" t="s">
        <v>18</v>
      </c>
      <c r="N133">
        <f>AVERAGEIF(Raw_Data!A:A, Raw_Data!A133, Raw_Data!D:D)</f>
        <v>7.4206896551724144</v>
      </c>
      <c r="O133" t="str">
        <f t="shared" si="2"/>
        <v>Medium Solar</v>
      </c>
    </row>
    <row r="134" spans="1:15">
      <c r="A134" t="s">
        <v>27</v>
      </c>
      <c r="B134">
        <v>12</v>
      </c>
      <c r="C134">
        <v>4521</v>
      </c>
      <c r="D134">
        <v>7.8</v>
      </c>
      <c r="E134" t="s">
        <v>20</v>
      </c>
      <c r="F134">
        <v>32</v>
      </c>
      <c r="G134">
        <v>79</v>
      </c>
      <c r="H134">
        <v>8</v>
      </c>
      <c r="I134">
        <v>20.5</v>
      </c>
      <c r="J134" t="s">
        <v>17</v>
      </c>
      <c r="K134">
        <v>3.9</v>
      </c>
      <c r="L134">
        <v>46.8</v>
      </c>
      <c r="M134" t="s">
        <v>17</v>
      </c>
      <c r="N134">
        <f>AVERAGEIF(Raw_Data!A:A, Raw_Data!A134, Raw_Data!D:D)</f>
        <v>6.8347826086956527</v>
      </c>
      <c r="O134" t="str">
        <f t="shared" si="2"/>
        <v>High Solar</v>
      </c>
    </row>
    <row r="135" spans="1:15">
      <c r="A135" t="s">
        <v>22</v>
      </c>
      <c r="B135">
        <v>6.3</v>
      </c>
      <c r="C135">
        <v>1809</v>
      </c>
      <c r="D135">
        <v>9.3000000000000007</v>
      </c>
      <c r="E135" t="s">
        <v>23</v>
      </c>
      <c r="F135">
        <v>42</v>
      </c>
      <c r="G135">
        <v>85</v>
      </c>
      <c r="H135">
        <v>7</v>
      </c>
      <c r="I135">
        <v>15.5</v>
      </c>
      <c r="J135" t="s">
        <v>17</v>
      </c>
      <c r="K135">
        <v>2.4</v>
      </c>
      <c r="L135">
        <v>29.3</v>
      </c>
      <c r="M135" t="s">
        <v>17</v>
      </c>
      <c r="N135">
        <f>AVERAGEIF(Raw_Data!A:A, Raw_Data!A135, Raw_Data!D:D)</f>
        <v>7.0051282051282051</v>
      </c>
      <c r="O135" t="str">
        <f t="shared" si="2"/>
        <v>High Solar</v>
      </c>
    </row>
    <row r="136" spans="1:15">
      <c r="A136" t="s">
        <v>30</v>
      </c>
      <c r="B136">
        <v>9.1</v>
      </c>
      <c r="C136">
        <v>1549</v>
      </c>
      <c r="D136">
        <v>8.1999999999999993</v>
      </c>
      <c r="E136" t="s">
        <v>20</v>
      </c>
      <c r="F136">
        <v>28</v>
      </c>
      <c r="G136">
        <v>58</v>
      </c>
      <c r="H136">
        <v>6</v>
      </c>
      <c r="I136">
        <v>31</v>
      </c>
      <c r="J136" t="s">
        <v>17</v>
      </c>
      <c r="K136">
        <v>3.1</v>
      </c>
      <c r="L136">
        <v>37.299999999999997</v>
      </c>
      <c r="M136" t="s">
        <v>18</v>
      </c>
      <c r="N136">
        <f>AVERAGEIF(Raw_Data!A:A, Raw_Data!A136, Raw_Data!D:D)</f>
        <v>7</v>
      </c>
      <c r="O136" t="str">
        <f t="shared" si="2"/>
        <v>Medium Solar</v>
      </c>
    </row>
    <row r="137" spans="1:15">
      <c r="A137" t="s">
        <v>29</v>
      </c>
      <c r="B137">
        <v>2.9</v>
      </c>
      <c r="C137">
        <v>611</v>
      </c>
      <c r="D137">
        <v>4.4000000000000004</v>
      </c>
      <c r="E137" t="s">
        <v>28</v>
      </c>
      <c r="F137">
        <v>29</v>
      </c>
      <c r="G137">
        <v>52</v>
      </c>
      <c r="H137">
        <v>4</v>
      </c>
      <c r="I137">
        <v>45</v>
      </c>
      <c r="J137" t="s">
        <v>18</v>
      </c>
      <c r="K137">
        <v>0.5</v>
      </c>
      <c r="L137">
        <v>6.4</v>
      </c>
      <c r="M137" t="s">
        <v>18</v>
      </c>
      <c r="N137">
        <f>AVERAGEIF(Raw_Data!A:A, Raw_Data!A137, Raw_Data!D:D)</f>
        <v>7.0571428571428561</v>
      </c>
      <c r="O137" t="str">
        <f t="shared" si="2"/>
        <v>Medium Solar</v>
      </c>
    </row>
    <row r="138" spans="1:15">
      <c r="A138" t="s">
        <v>36</v>
      </c>
      <c r="B138">
        <v>20</v>
      </c>
      <c r="C138">
        <v>4052</v>
      </c>
      <c r="D138">
        <v>6.1</v>
      </c>
      <c r="E138" t="s">
        <v>28</v>
      </c>
      <c r="F138">
        <v>34</v>
      </c>
      <c r="G138">
        <v>50</v>
      </c>
      <c r="H138">
        <v>6</v>
      </c>
      <c r="I138">
        <v>42</v>
      </c>
      <c r="J138" t="s">
        <v>17</v>
      </c>
      <c r="K138">
        <v>5.0999999999999996</v>
      </c>
      <c r="L138">
        <v>61</v>
      </c>
      <c r="M138" t="s">
        <v>21</v>
      </c>
      <c r="N138">
        <f>AVERAGEIF(Raw_Data!A:A, Raw_Data!A138, Raw_Data!D:D)</f>
        <v>7.5260869565217385</v>
      </c>
      <c r="O138" t="str">
        <f t="shared" si="2"/>
        <v>Medium Solar</v>
      </c>
    </row>
    <row r="139" spans="1:15">
      <c r="A139" t="s">
        <v>29</v>
      </c>
      <c r="B139">
        <v>17.399999999999999</v>
      </c>
      <c r="C139">
        <v>3943</v>
      </c>
      <c r="D139">
        <v>5</v>
      </c>
      <c r="E139" t="s">
        <v>20</v>
      </c>
      <c r="F139">
        <v>33</v>
      </c>
      <c r="G139">
        <v>53</v>
      </c>
      <c r="H139">
        <v>6</v>
      </c>
      <c r="I139">
        <v>36.5</v>
      </c>
      <c r="J139" t="s">
        <v>18</v>
      </c>
      <c r="K139">
        <v>3.6</v>
      </c>
      <c r="L139">
        <v>43.5</v>
      </c>
      <c r="M139" t="s">
        <v>18</v>
      </c>
      <c r="N139">
        <f>AVERAGEIF(Raw_Data!A:A, Raw_Data!A139, Raw_Data!D:D)</f>
        <v>7.0571428571428561</v>
      </c>
      <c r="O139" t="str">
        <f t="shared" si="2"/>
        <v>Medium Solar</v>
      </c>
    </row>
    <row r="140" spans="1:15">
      <c r="A140" t="s">
        <v>19</v>
      </c>
      <c r="B140">
        <v>11.6</v>
      </c>
      <c r="C140">
        <v>4477</v>
      </c>
      <c r="D140">
        <v>7.8</v>
      </c>
      <c r="E140" t="s">
        <v>20</v>
      </c>
      <c r="F140">
        <v>25</v>
      </c>
      <c r="G140">
        <v>57</v>
      </c>
      <c r="H140">
        <v>8</v>
      </c>
      <c r="I140">
        <v>35.5</v>
      </c>
      <c r="J140" t="s">
        <v>17</v>
      </c>
      <c r="K140">
        <v>3.8</v>
      </c>
      <c r="L140">
        <v>45.2</v>
      </c>
      <c r="M140" t="s">
        <v>18</v>
      </c>
      <c r="N140">
        <f>AVERAGEIF(Raw_Data!A:A, Raw_Data!A140, Raw_Data!D:D)</f>
        <v>6.8899999999999988</v>
      </c>
      <c r="O140" t="str">
        <f t="shared" si="2"/>
        <v>Medium Solar</v>
      </c>
    </row>
    <row r="141" spans="1:15">
      <c r="A141" t="s">
        <v>24</v>
      </c>
      <c r="B141">
        <v>11.9</v>
      </c>
      <c r="C141">
        <v>4862</v>
      </c>
      <c r="D141">
        <v>6.8</v>
      </c>
      <c r="E141" t="s">
        <v>23</v>
      </c>
      <c r="F141">
        <v>32</v>
      </c>
      <c r="G141">
        <v>76</v>
      </c>
      <c r="H141">
        <v>7</v>
      </c>
      <c r="I141">
        <v>21</v>
      </c>
      <c r="J141" t="s">
        <v>17</v>
      </c>
      <c r="K141">
        <v>3.4</v>
      </c>
      <c r="L141">
        <v>40.5</v>
      </c>
      <c r="M141" t="s">
        <v>17</v>
      </c>
      <c r="N141">
        <f>AVERAGEIF(Raw_Data!A:A, Raw_Data!A141, Raw_Data!D:D)</f>
        <v>7.0352941176470587</v>
      </c>
      <c r="O141" t="str">
        <f t="shared" si="2"/>
        <v>High Solar</v>
      </c>
    </row>
    <row r="142" spans="1:15">
      <c r="A142" t="s">
        <v>26</v>
      </c>
      <c r="B142">
        <v>9</v>
      </c>
      <c r="C142">
        <v>1845</v>
      </c>
      <c r="D142">
        <v>6.5</v>
      </c>
      <c r="E142" t="s">
        <v>23</v>
      </c>
      <c r="F142">
        <v>30</v>
      </c>
      <c r="G142">
        <v>41</v>
      </c>
      <c r="H142">
        <v>5</v>
      </c>
      <c r="I142">
        <v>46.5</v>
      </c>
      <c r="J142" t="s">
        <v>17</v>
      </c>
      <c r="K142">
        <v>2.4</v>
      </c>
      <c r="L142">
        <v>29.3</v>
      </c>
      <c r="M142" t="s">
        <v>21</v>
      </c>
      <c r="N142">
        <f>AVERAGEIF(Raw_Data!A:A, Raw_Data!A142, Raw_Data!D:D)</f>
        <v>6.9771428571428586</v>
      </c>
      <c r="O142" t="str">
        <f t="shared" si="2"/>
        <v>Low Solar</v>
      </c>
    </row>
    <row r="143" spans="1:15">
      <c r="A143" t="s">
        <v>22</v>
      </c>
      <c r="B143">
        <v>23.3</v>
      </c>
      <c r="C143">
        <v>2740</v>
      </c>
      <c r="D143">
        <v>7.3</v>
      </c>
      <c r="E143" t="s">
        <v>23</v>
      </c>
      <c r="F143">
        <v>35</v>
      </c>
      <c r="G143">
        <v>61</v>
      </c>
      <c r="H143">
        <v>9</v>
      </c>
      <c r="I143">
        <v>27.5</v>
      </c>
      <c r="J143" t="s">
        <v>17</v>
      </c>
      <c r="K143">
        <v>7.1</v>
      </c>
      <c r="L143">
        <v>85</v>
      </c>
      <c r="M143" t="s">
        <v>18</v>
      </c>
      <c r="N143">
        <f>AVERAGEIF(Raw_Data!A:A, Raw_Data!A143, Raw_Data!D:D)</f>
        <v>7.0051282051282051</v>
      </c>
      <c r="O143" t="str">
        <f t="shared" si="2"/>
        <v>Medium Solar</v>
      </c>
    </row>
    <row r="144" spans="1:15">
      <c r="A144" t="s">
        <v>34</v>
      </c>
      <c r="B144">
        <v>23.1</v>
      </c>
      <c r="C144">
        <v>3668</v>
      </c>
      <c r="D144">
        <v>6.1</v>
      </c>
      <c r="E144" t="s">
        <v>20</v>
      </c>
      <c r="F144">
        <v>34</v>
      </c>
      <c r="G144">
        <v>75</v>
      </c>
      <c r="H144">
        <v>7</v>
      </c>
      <c r="I144">
        <v>21.5</v>
      </c>
      <c r="J144" t="s">
        <v>17</v>
      </c>
      <c r="K144">
        <v>5.9</v>
      </c>
      <c r="L144">
        <v>70.5</v>
      </c>
      <c r="M144" t="s">
        <v>17</v>
      </c>
      <c r="N144">
        <f>AVERAGEIF(Raw_Data!A:A, Raw_Data!A144, Raw_Data!D:D)</f>
        <v>7.4411764705882346</v>
      </c>
      <c r="O144" t="str">
        <f t="shared" si="2"/>
        <v>High Solar</v>
      </c>
    </row>
    <row r="145" spans="1:15">
      <c r="A145" t="s">
        <v>26</v>
      </c>
      <c r="B145">
        <v>21.3</v>
      </c>
      <c r="C145">
        <v>4106</v>
      </c>
      <c r="D145">
        <v>9.6999999999999993</v>
      </c>
      <c r="E145" t="s">
        <v>23</v>
      </c>
      <c r="F145">
        <v>38</v>
      </c>
      <c r="G145">
        <v>78</v>
      </c>
      <c r="H145">
        <v>8</v>
      </c>
      <c r="I145">
        <v>25</v>
      </c>
      <c r="J145" t="s">
        <v>17</v>
      </c>
      <c r="K145">
        <v>8.6</v>
      </c>
      <c r="L145">
        <v>103.3</v>
      </c>
      <c r="M145" t="s">
        <v>17</v>
      </c>
      <c r="N145">
        <f>AVERAGEIF(Raw_Data!A:A, Raw_Data!A145, Raw_Data!D:D)</f>
        <v>6.9771428571428586</v>
      </c>
      <c r="O145" t="str">
        <f t="shared" si="2"/>
        <v>High Solar</v>
      </c>
    </row>
    <row r="146" spans="1:15">
      <c r="A146" t="s">
        <v>31</v>
      </c>
      <c r="B146">
        <v>13.9</v>
      </c>
      <c r="C146">
        <v>2484</v>
      </c>
      <c r="D146">
        <v>4.8</v>
      </c>
      <c r="E146" t="s">
        <v>20</v>
      </c>
      <c r="F146">
        <v>32</v>
      </c>
      <c r="G146">
        <v>62</v>
      </c>
      <c r="H146">
        <v>8</v>
      </c>
      <c r="I146">
        <v>27</v>
      </c>
      <c r="J146" t="s">
        <v>18</v>
      </c>
      <c r="K146">
        <v>2.8</v>
      </c>
      <c r="L146">
        <v>33.4</v>
      </c>
      <c r="M146" t="s">
        <v>18</v>
      </c>
      <c r="N146">
        <f>AVERAGEIF(Raw_Data!A:A, Raw_Data!A146, Raw_Data!D:D)</f>
        <v>6.5849999999999991</v>
      </c>
      <c r="O146" t="str">
        <f t="shared" si="2"/>
        <v>Medium Solar</v>
      </c>
    </row>
    <row r="147" spans="1:15">
      <c r="A147" t="s">
        <v>34</v>
      </c>
      <c r="B147">
        <v>8.1999999999999993</v>
      </c>
      <c r="C147">
        <v>1515</v>
      </c>
      <c r="D147">
        <v>8.8000000000000007</v>
      </c>
      <c r="E147" t="s">
        <v>16</v>
      </c>
      <c r="F147">
        <v>32</v>
      </c>
      <c r="G147">
        <v>78</v>
      </c>
      <c r="H147">
        <v>6</v>
      </c>
      <c r="I147">
        <v>24</v>
      </c>
      <c r="J147" t="s">
        <v>17</v>
      </c>
      <c r="K147">
        <v>3</v>
      </c>
      <c r="L147">
        <v>36.1</v>
      </c>
      <c r="M147" t="s">
        <v>17</v>
      </c>
      <c r="N147">
        <f>AVERAGEIF(Raw_Data!A:A, Raw_Data!A147, Raw_Data!D:D)</f>
        <v>7.4411764705882346</v>
      </c>
      <c r="O147" t="str">
        <f t="shared" si="2"/>
        <v>High Solar</v>
      </c>
    </row>
    <row r="148" spans="1:15">
      <c r="A148" t="s">
        <v>22</v>
      </c>
      <c r="B148">
        <v>10.3</v>
      </c>
      <c r="C148">
        <v>2853</v>
      </c>
      <c r="D148">
        <v>5.5</v>
      </c>
      <c r="E148" t="s">
        <v>23</v>
      </c>
      <c r="F148">
        <v>30</v>
      </c>
      <c r="G148">
        <v>59</v>
      </c>
      <c r="H148">
        <v>6</v>
      </c>
      <c r="I148">
        <v>31.5</v>
      </c>
      <c r="J148" t="s">
        <v>18</v>
      </c>
      <c r="K148">
        <v>2.4</v>
      </c>
      <c r="L148">
        <v>28.3</v>
      </c>
      <c r="M148" t="s">
        <v>18</v>
      </c>
      <c r="N148">
        <f>AVERAGEIF(Raw_Data!A:A, Raw_Data!A148, Raw_Data!D:D)</f>
        <v>7.0051282051282051</v>
      </c>
      <c r="O148" t="str">
        <f t="shared" si="2"/>
        <v>Medium Solar</v>
      </c>
    </row>
    <row r="149" spans="1:15">
      <c r="A149" t="s">
        <v>36</v>
      </c>
      <c r="B149">
        <v>24.6</v>
      </c>
      <c r="C149">
        <v>3342</v>
      </c>
      <c r="D149">
        <v>10.8</v>
      </c>
      <c r="E149" t="s">
        <v>16</v>
      </c>
      <c r="F149">
        <v>45</v>
      </c>
      <c r="G149">
        <v>72</v>
      </c>
      <c r="H149">
        <v>7</v>
      </c>
      <c r="I149">
        <v>25</v>
      </c>
      <c r="J149" t="s">
        <v>32</v>
      </c>
      <c r="K149">
        <v>11.1</v>
      </c>
      <c r="L149">
        <v>132.80000000000001</v>
      </c>
      <c r="M149" t="s">
        <v>17</v>
      </c>
      <c r="N149">
        <f>AVERAGEIF(Raw_Data!A:A, Raw_Data!A149, Raw_Data!D:D)</f>
        <v>7.5260869565217385</v>
      </c>
      <c r="O149" t="str">
        <f t="shared" si="2"/>
        <v>High Solar</v>
      </c>
    </row>
    <row r="150" spans="1:15">
      <c r="A150" t="s">
        <v>26</v>
      </c>
      <c r="B150">
        <v>12.1</v>
      </c>
      <c r="C150">
        <v>4246</v>
      </c>
      <c r="D150">
        <v>7.2</v>
      </c>
      <c r="E150" t="s">
        <v>16</v>
      </c>
      <c r="F150">
        <v>28</v>
      </c>
      <c r="G150">
        <v>57</v>
      </c>
      <c r="H150">
        <v>9</v>
      </c>
      <c r="I150">
        <v>33.5</v>
      </c>
      <c r="J150" t="s">
        <v>17</v>
      </c>
      <c r="K150">
        <v>3.6</v>
      </c>
      <c r="L150">
        <v>43.6</v>
      </c>
      <c r="M150" t="s">
        <v>18</v>
      </c>
      <c r="N150">
        <f>AVERAGEIF(Raw_Data!A:A, Raw_Data!A150, Raw_Data!D:D)</f>
        <v>6.9771428571428586</v>
      </c>
      <c r="O150" t="str">
        <f t="shared" si="2"/>
        <v>Medium Solar</v>
      </c>
    </row>
    <row r="151" spans="1:15">
      <c r="A151" t="s">
        <v>31</v>
      </c>
      <c r="B151">
        <v>18.2</v>
      </c>
      <c r="C151">
        <v>4813</v>
      </c>
      <c r="D151">
        <v>4.5</v>
      </c>
      <c r="E151" t="s">
        <v>28</v>
      </c>
      <c r="F151">
        <v>30</v>
      </c>
      <c r="G151">
        <v>50</v>
      </c>
      <c r="H151">
        <v>8</v>
      </c>
      <c r="I151">
        <v>37</v>
      </c>
      <c r="J151" t="s">
        <v>18</v>
      </c>
      <c r="K151">
        <v>3.4</v>
      </c>
      <c r="L151">
        <v>41</v>
      </c>
      <c r="M151" t="s">
        <v>21</v>
      </c>
      <c r="N151">
        <f>AVERAGEIF(Raw_Data!A:A, Raw_Data!A151, Raw_Data!D:D)</f>
        <v>6.5849999999999991</v>
      </c>
      <c r="O151" t="str">
        <f t="shared" si="2"/>
        <v>Medium Solar</v>
      </c>
    </row>
    <row r="152" spans="1:15">
      <c r="A152" t="s">
        <v>33</v>
      </c>
      <c r="B152">
        <v>14.7</v>
      </c>
      <c r="C152">
        <v>4303</v>
      </c>
      <c r="D152">
        <v>6</v>
      </c>
      <c r="E152" t="s">
        <v>20</v>
      </c>
      <c r="F152">
        <v>40</v>
      </c>
      <c r="G152">
        <v>70</v>
      </c>
      <c r="H152">
        <v>8</v>
      </c>
      <c r="I152">
        <v>20</v>
      </c>
      <c r="J152" t="s">
        <v>18</v>
      </c>
      <c r="K152">
        <v>3.7</v>
      </c>
      <c r="L152">
        <v>44.1</v>
      </c>
      <c r="M152" t="s">
        <v>18</v>
      </c>
      <c r="N152">
        <f>AVERAGEIF(Raw_Data!A:A, Raw_Data!A152, Raw_Data!D:D)</f>
        <v>7.1129032258064528</v>
      </c>
      <c r="O152" t="str">
        <f t="shared" si="2"/>
        <v>Medium Solar</v>
      </c>
    </row>
    <row r="153" spans="1:15">
      <c r="A153" t="s">
        <v>27</v>
      </c>
      <c r="B153">
        <v>13</v>
      </c>
      <c r="C153">
        <v>4982</v>
      </c>
      <c r="D153">
        <v>8.6</v>
      </c>
      <c r="E153" t="s">
        <v>23</v>
      </c>
      <c r="F153">
        <v>37</v>
      </c>
      <c r="G153">
        <v>86</v>
      </c>
      <c r="H153">
        <v>7</v>
      </c>
      <c r="I153">
        <v>14</v>
      </c>
      <c r="J153" t="s">
        <v>17</v>
      </c>
      <c r="K153">
        <v>4.7</v>
      </c>
      <c r="L153">
        <v>55.9</v>
      </c>
      <c r="M153" t="s">
        <v>17</v>
      </c>
      <c r="N153">
        <f>AVERAGEIF(Raw_Data!A:A, Raw_Data!A153, Raw_Data!D:D)</f>
        <v>6.8347826086956527</v>
      </c>
      <c r="O153" t="str">
        <f t="shared" si="2"/>
        <v>High Solar</v>
      </c>
    </row>
    <row r="154" spans="1:15">
      <c r="A154" t="s">
        <v>24</v>
      </c>
      <c r="B154">
        <v>18.5</v>
      </c>
      <c r="C154">
        <v>2649</v>
      </c>
      <c r="D154">
        <v>7.2</v>
      </c>
      <c r="E154" t="s">
        <v>16</v>
      </c>
      <c r="F154">
        <v>28</v>
      </c>
      <c r="G154">
        <v>64</v>
      </c>
      <c r="H154">
        <v>9</v>
      </c>
      <c r="I154">
        <v>23</v>
      </c>
      <c r="J154" t="s">
        <v>17</v>
      </c>
      <c r="K154">
        <v>5.6</v>
      </c>
      <c r="L154">
        <v>66.599999999999994</v>
      </c>
      <c r="M154" t="s">
        <v>18</v>
      </c>
      <c r="N154">
        <f>AVERAGEIF(Raw_Data!A:A, Raw_Data!A154, Raw_Data!D:D)</f>
        <v>7.0352941176470587</v>
      </c>
      <c r="O154" t="str">
        <f t="shared" si="2"/>
        <v>Medium Solar</v>
      </c>
    </row>
    <row r="155" spans="1:15">
      <c r="A155" t="s">
        <v>19</v>
      </c>
      <c r="B155">
        <v>9.8000000000000007</v>
      </c>
      <c r="C155">
        <v>1313</v>
      </c>
      <c r="D155">
        <v>8</v>
      </c>
      <c r="E155" t="s">
        <v>23</v>
      </c>
      <c r="F155">
        <v>40</v>
      </c>
      <c r="G155">
        <v>87</v>
      </c>
      <c r="H155">
        <v>7</v>
      </c>
      <c r="I155">
        <v>20.5</v>
      </c>
      <c r="J155" t="s">
        <v>17</v>
      </c>
      <c r="K155">
        <v>3.3</v>
      </c>
      <c r="L155">
        <v>39.200000000000003</v>
      </c>
      <c r="M155" t="s">
        <v>17</v>
      </c>
      <c r="N155">
        <f>AVERAGEIF(Raw_Data!A:A, Raw_Data!A155, Raw_Data!D:D)</f>
        <v>6.8899999999999988</v>
      </c>
      <c r="O155" t="str">
        <f t="shared" si="2"/>
        <v>High Solar</v>
      </c>
    </row>
    <row r="156" spans="1:15">
      <c r="A156" t="s">
        <v>27</v>
      </c>
      <c r="B156">
        <v>11.4</v>
      </c>
      <c r="C156">
        <v>4067</v>
      </c>
      <c r="D156">
        <v>9</v>
      </c>
      <c r="E156" t="s">
        <v>16</v>
      </c>
      <c r="F156">
        <v>40</v>
      </c>
      <c r="G156">
        <v>91</v>
      </c>
      <c r="H156">
        <v>6</v>
      </c>
      <c r="I156">
        <v>12.5</v>
      </c>
      <c r="J156" t="s">
        <v>17</v>
      </c>
      <c r="K156">
        <v>4.3</v>
      </c>
      <c r="L156">
        <v>51.3</v>
      </c>
      <c r="M156" t="s">
        <v>17</v>
      </c>
      <c r="N156">
        <f>AVERAGEIF(Raw_Data!A:A, Raw_Data!A156, Raw_Data!D:D)</f>
        <v>6.8347826086956527</v>
      </c>
      <c r="O156" t="str">
        <f t="shared" si="2"/>
        <v>High Solar</v>
      </c>
    </row>
    <row r="157" spans="1:15">
      <c r="A157" t="s">
        <v>34</v>
      </c>
      <c r="B157">
        <v>14.9</v>
      </c>
      <c r="C157">
        <v>2403</v>
      </c>
      <c r="D157">
        <v>4.8</v>
      </c>
      <c r="E157" t="s">
        <v>20</v>
      </c>
      <c r="F157">
        <v>25</v>
      </c>
      <c r="G157">
        <v>64</v>
      </c>
      <c r="H157">
        <v>6</v>
      </c>
      <c r="I157">
        <v>29</v>
      </c>
      <c r="J157" t="s">
        <v>18</v>
      </c>
      <c r="K157">
        <v>3</v>
      </c>
      <c r="L157">
        <v>35.799999999999997</v>
      </c>
      <c r="M157" t="s">
        <v>18</v>
      </c>
      <c r="N157">
        <f>AVERAGEIF(Raw_Data!A:A, Raw_Data!A157, Raw_Data!D:D)</f>
        <v>7.4411764705882346</v>
      </c>
      <c r="O157" t="str">
        <f t="shared" si="2"/>
        <v>Medium Solar</v>
      </c>
    </row>
    <row r="158" spans="1:15">
      <c r="A158" t="s">
        <v>37</v>
      </c>
      <c r="B158">
        <v>22</v>
      </c>
      <c r="C158">
        <v>2621</v>
      </c>
      <c r="D158">
        <v>8.1999999999999993</v>
      </c>
      <c r="E158" t="s">
        <v>16</v>
      </c>
      <c r="F158">
        <v>28</v>
      </c>
      <c r="G158">
        <v>47</v>
      </c>
      <c r="H158">
        <v>7</v>
      </c>
      <c r="I158">
        <v>39.5</v>
      </c>
      <c r="J158" t="s">
        <v>17</v>
      </c>
      <c r="K158">
        <v>7.5</v>
      </c>
      <c r="L158">
        <v>90.2</v>
      </c>
      <c r="M158" t="s">
        <v>21</v>
      </c>
      <c r="N158">
        <f>AVERAGEIF(Raw_Data!A:A, Raw_Data!A158, Raw_Data!D:D)</f>
        <v>6.7384615384615376</v>
      </c>
      <c r="O158" t="str">
        <f t="shared" si="2"/>
        <v>Low Solar</v>
      </c>
    </row>
    <row r="159" spans="1:15">
      <c r="A159" t="s">
        <v>35</v>
      </c>
      <c r="B159">
        <v>4.2</v>
      </c>
      <c r="C159">
        <v>310</v>
      </c>
      <c r="D159">
        <v>9.6</v>
      </c>
      <c r="E159" t="s">
        <v>20</v>
      </c>
      <c r="F159">
        <v>37</v>
      </c>
      <c r="G159">
        <v>83</v>
      </c>
      <c r="H159">
        <v>5</v>
      </c>
      <c r="I159">
        <v>20.5</v>
      </c>
      <c r="J159" t="s">
        <v>17</v>
      </c>
      <c r="K159">
        <v>1.7</v>
      </c>
      <c r="L159">
        <v>20.2</v>
      </c>
      <c r="M159" t="s">
        <v>18</v>
      </c>
      <c r="N159">
        <f>AVERAGEIF(Raw_Data!A:A, Raw_Data!A159, Raw_Data!D:D)</f>
        <v>7.4206896551724144</v>
      </c>
      <c r="O159" t="str">
        <f t="shared" si="2"/>
        <v>High Solar</v>
      </c>
    </row>
    <row r="160" spans="1:15">
      <c r="A160" t="s">
        <v>29</v>
      </c>
      <c r="B160">
        <v>7.6</v>
      </c>
      <c r="C160">
        <v>1091</v>
      </c>
      <c r="D160">
        <v>5.5</v>
      </c>
      <c r="E160" t="s">
        <v>20</v>
      </c>
      <c r="F160">
        <v>30</v>
      </c>
      <c r="G160">
        <v>54</v>
      </c>
      <c r="H160">
        <v>6</v>
      </c>
      <c r="I160">
        <v>41</v>
      </c>
      <c r="J160" t="s">
        <v>18</v>
      </c>
      <c r="K160">
        <v>1.7</v>
      </c>
      <c r="L160">
        <v>20.9</v>
      </c>
      <c r="M160" t="s">
        <v>18</v>
      </c>
      <c r="N160">
        <f>AVERAGEIF(Raw_Data!A:A, Raw_Data!A160, Raw_Data!D:D)</f>
        <v>7.0571428571428561</v>
      </c>
      <c r="O160" t="str">
        <f t="shared" si="2"/>
        <v>Medium Solar</v>
      </c>
    </row>
    <row r="161" spans="1:15">
      <c r="A161" t="s">
        <v>29</v>
      </c>
      <c r="B161">
        <v>11.8</v>
      </c>
      <c r="C161">
        <v>2206</v>
      </c>
      <c r="D161">
        <v>8</v>
      </c>
      <c r="E161" t="s">
        <v>16</v>
      </c>
      <c r="F161">
        <v>33</v>
      </c>
      <c r="G161">
        <v>55</v>
      </c>
      <c r="H161">
        <v>8</v>
      </c>
      <c r="I161">
        <v>35.5</v>
      </c>
      <c r="J161" t="s">
        <v>17</v>
      </c>
      <c r="K161">
        <v>3.9</v>
      </c>
      <c r="L161">
        <v>47.2</v>
      </c>
      <c r="M161" t="s">
        <v>18</v>
      </c>
      <c r="N161">
        <f>AVERAGEIF(Raw_Data!A:A, Raw_Data!A161, Raw_Data!D:D)</f>
        <v>7.0571428571428561</v>
      </c>
      <c r="O161" t="str">
        <f t="shared" si="2"/>
        <v>Medium Solar</v>
      </c>
    </row>
    <row r="162" spans="1:15">
      <c r="A162" t="s">
        <v>37</v>
      </c>
      <c r="B162">
        <v>8.1</v>
      </c>
      <c r="C162">
        <v>1660</v>
      </c>
      <c r="D162">
        <v>6</v>
      </c>
      <c r="E162" t="s">
        <v>23</v>
      </c>
      <c r="F162">
        <v>33</v>
      </c>
      <c r="G162">
        <v>68</v>
      </c>
      <c r="H162">
        <v>6</v>
      </c>
      <c r="I162">
        <v>31</v>
      </c>
      <c r="J162" t="s">
        <v>18</v>
      </c>
      <c r="K162">
        <v>2</v>
      </c>
      <c r="L162">
        <v>24.3</v>
      </c>
      <c r="M162" t="s">
        <v>18</v>
      </c>
      <c r="N162">
        <f>AVERAGEIF(Raw_Data!A:A, Raw_Data!A162, Raw_Data!D:D)</f>
        <v>6.7384615384615376</v>
      </c>
      <c r="O162" t="str">
        <f t="shared" si="2"/>
        <v>Medium Solar</v>
      </c>
    </row>
    <row r="163" spans="1:15">
      <c r="A163" t="s">
        <v>19</v>
      </c>
      <c r="B163">
        <v>2.2000000000000002</v>
      </c>
      <c r="C163">
        <v>236</v>
      </c>
      <c r="D163">
        <v>9.1</v>
      </c>
      <c r="E163" t="s">
        <v>23</v>
      </c>
      <c r="F163">
        <v>34</v>
      </c>
      <c r="G163">
        <v>78</v>
      </c>
      <c r="H163">
        <v>2</v>
      </c>
      <c r="I163">
        <v>27</v>
      </c>
      <c r="J163" t="s">
        <v>17</v>
      </c>
      <c r="K163">
        <v>0.8</v>
      </c>
      <c r="L163">
        <v>10</v>
      </c>
      <c r="M163" t="s">
        <v>18</v>
      </c>
      <c r="N163">
        <f>AVERAGEIF(Raw_Data!A:A, Raw_Data!A163, Raw_Data!D:D)</f>
        <v>6.8899999999999988</v>
      </c>
      <c r="O163" t="str">
        <f t="shared" si="2"/>
        <v>High Solar</v>
      </c>
    </row>
    <row r="164" spans="1:15">
      <c r="A164" t="s">
        <v>26</v>
      </c>
      <c r="B164">
        <v>1.6</v>
      </c>
      <c r="C164">
        <v>669</v>
      </c>
      <c r="D164">
        <v>6.3</v>
      </c>
      <c r="E164" t="s">
        <v>16</v>
      </c>
      <c r="F164">
        <v>35</v>
      </c>
      <c r="G164">
        <v>59</v>
      </c>
      <c r="H164">
        <v>2</v>
      </c>
      <c r="I164">
        <v>42.5</v>
      </c>
      <c r="J164" t="s">
        <v>17</v>
      </c>
      <c r="K164">
        <v>0.4</v>
      </c>
      <c r="L164">
        <v>5</v>
      </c>
      <c r="M164" t="s">
        <v>18</v>
      </c>
      <c r="N164">
        <f>AVERAGEIF(Raw_Data!A:A, Raw_Data!A164, Raw_Data!D:D)</f>
        <v>6.9771428571428586</v>
      </c>
      <c r="O164" t="str">
        <f t="shared" si="2"/>
        <v>Medium Solar</v>
      </c>
    </row>
    <row r="165" spans="1:15">
      <c r="A165" t="s">
        <v>19</v>
      </c>
      <c r="B165">
        <v>5.8</v>
      </c>
      <c r="C165">
        <v>1130</v>
      </c>
      <c r="D165">
        <v>9.6999999999999993</v>
      </c>
      <c r="E165" t="s">
        <v>16</v>
      </c>
      <c r="F165">
        <v>38</v>
      </c>
      <c r="G165">
        <v>83</v>
      </c>
      <c r="H165">
        <v>4</v>
      </c>
      <c r="I165">
        <v>26.5</v>
      </c>
      <c r="J165" t="s">
        <v>17</v>
      </c>
      <c r="K165">
        <v>2.2999999999999998</v>
      </c>
      <c r="L165">
        <v>28.1</v>
      </c>
      <c r="M165" t="s">
        <v>18</v>
      </c>
      <c r="N165">
        <f>AVERAGEIF(Raw_Data!A:A, Raw_Data!A165, Raw_Data!D:D)</f>
        <v>6.8899999999999988</v>
      </c>
      <c r="O165" t="str">
        <f t="shared" si="2"/>
        <v>High Solar</v>
      </c>
    </row>
    <row r="166" spans="1:15">
      <c r="A166" t="s">
        <v>25</v>
      </c>
      <c r="B166">
        <v>20.399999999999999</v>
      </c>
      <c r="C166">
        <v>4518</v>
      </c>
      <c r="D166">
        <v>6.5</v>
      </c>
      <c r="E166" t="s">
        <v>16</v>
      </c>
      <c r="F166">
        <v>30</v>
      </c>
      <c r="G166">
        <v>55</v>
      </c>
      <c r="H166">
        <v>9</v>
      </c>
      <c r="I166">
        <v>32.5</v>
      </c>
      <c r="J166" t="s">
        <v>17</v>
      </c>
      <c r="K166">
        <v>5.5</v>
      </c>
      <c r="L166">
        <v>66.3</v>
      </c>
      <c r="M166" t="s">
        <v>18</v>
      </c>
      <c r="N166">
        <f>AVERAGEIF(Raw_Data!A:A, Raw_Data!A166, Raw_Data!D:D)</f>
        <v>7.0823529411764703</v>
      </c>
      <c r="O166" t="str">
        <f t="shared" si="2"/>
        <v>Medium Solar</v>
      </c>
    </row>
    <row r="167" spans="1:15">
      <c r="A167" t="s">
        <v>22</v>
      </c>
      <c r="B167">
        <v>14.9</v>
      </c>
      <c r="C167">
        <v>2150</v>
      </c>
      <c r="D167">
        <v>4.7</v>
      </c>
      <c r="E167" t="s">
        <v>28</v>
      </c>
      <c r="F167">
        <v>31</v>
      </c>
      <c r="G167">
        <v>74</v>
      </c>
      <c r="H167">
        <v>7</v>
      </c>
      <c r="I167">
        <v>22</v>
      </c>
      <c r="J167" t="s">
        <v>18</v>
      </c>
      <c r="K167">
        <v>2.9</v>
      </c>
      <c r="L167">
        <v>35</v>
      </c>
      <c r="M167" t="s">
        <v>17</v>
      </c>
      <c r="N167">
        <f>AVERAGEIF(Raw_Data!A:A, Raw_Data!A167, Raw_Data!D:D)</f>
        <v>7.0051282051282051</v>
      </c>
      <c r="O167" t="str">
        <f t="shared" si="2"/>
        <v>High Solar</v>
      </c>
    </row>
    <row r="168" spans="1:15">
      <c r="A168" t="s">
        <v>27</v>
      </c>
      <c r="B168">
        <v>9.3000000000000007</v>
      </c>
      <c r="C168">
        <v>1513</v>
      </c>
      <c r="D168">
        <v>5.8</v>
      </c>
      <c r="E168" t="s">
        <v>20</v>
      </c>
      <c r="F168">
        <v>25</v>
      </c>
      <c r="G168">
        <v>51</v>
      </c>
      <c r="H168">
        <v>4</v>
      </c>
      <c r="I168">
        <v>46.5</v>
      </c>
      <c r="J168" t="s">
        <v>18</v>
      </c>
      <c r="K168">
        <v>2.2000000000000002</v>
      </c>
      <c r="L168">
        <v>27</v>
      </c>
      <c r="M168" t="s">
        <v>18</v>
      </c>
      <c r="N168">
        <f>AVERAGEIF(Raw_Data!A:A, Raw_Data!A168, Raw_Data!D:D)</f>
        <v>6.8347826086956527</v>
      </c>
      <c r="O168" t="str">
        <f t="shared" si="2"/>
        <v>Medium Solar</v>
      </c>
    </row>
    <row r="169" spans="1:15">
      <c r="A169" t="s">
        <v>26</v>
      </c>
      <c r="B169">
        <v>7.7</v>
      </c>
      <c r="C169">
        <v>1759</v>
      </c>
      <c r="D169">
        <v>4.5</v>
      </c>
      <c r="E169" t="s">
        <v>16</v>
      </c>
      <c r="F169">
        <v>30</v>
      </c>
      <c r="G169">
        <v>56</v>
      </c>
      <c r="H169">
        <v>4</v>
      </c>
      <c r="I169">
        <v>43</v>
      </c>
      <c r="J169" t="s">
        <v>18</v>
      </c>
      <c r="K169">
        <v>1.4</v>
      </c>
      <c r="L169">
        <v>17.3</v>
      </c>
      <c r="M169" t="s">
        <v>18</v>
      </c>
      <c r="N169">
        <f>AVERAGEIF(Raw_Data!A:A, Raw_Data!A169, Raw_Data!D:D)</f>
        <v>6.9771428571428586</v>
      </c>
      <c r="O169" t="str">
        <f t="shared" si="2"/>
        <v>Medium Solar</v>
      </c>
    </row>
    <row r="170" spans="1:15">
      <c r="A170" t="s">
        <v>15</v>
      </c>
      <c r="B170">
        <v>24.3</v>
      </c>
      <c r="C170">
        <v>4934</v>
      </c>
      <c r="D170">
        <v>6.8</v>
      </c>
      <c r="E170" t="s">
        <v>20</v>
      </c>
      <c r="F170">
        <v>32</v>
      </c>
      <c r="G170">
        <v>62</v>
      </c>
      <c r="H170">
        <v>7</v>
      </c>
      <c r="I170">
        <v>35</v>
      </c>
      <c r="J170" t="s">
        <v>17</v>
      </c>
      <c r="K170">
        <v>6.9</v>
      </c>
      <c r="L170">
        <v>82.6</v>
      </c>
      <c r="M170" t="s">
        <v>18</v>
      </c>
      <c r="N170">
        <f>AVERAGEIF(Raw_Data!A:A, Raw_Data!A170, Raw_Data!D:D)</f>
        <v>7.1264705882352937</v>
      </c>
      <c r="O170" t="str">
        <f t="shared" si="2"/>
        <v>Medium Solar</v>
      </c>
    </row>
    <row r="171" spans="1:15">
      <c r="A171" t="s">
        <v>24</v>
      </c>
      <c r="B171">
        <v>10.4</v>
      </c>
      <c r="C171">
        <v>2658</v>
      </c>
      <c r="D171">
        <v>6.6</v>
      </c>
      <c r="E171" t="s">
        <v>28</v>
      </c>
      <c r="F171">
        <v>37</v>
      </c>
      <c r="G171">
        <v>88</v>
      </c>
      <c r="H171">
        <v>9</v>
      </c>
      <c r="I171">
        <v>9</v>
      </c>
      <c r="J171" t="s">
        <v>17</v>
      </c>
      <c r="K171">
        <v>2.9</v>
      </c>
      <c r="L171">
        <v>34.299999999999997</v>
      </c>
      <c r="M171" t="s">
        <v>17</v>
      </c>
      <c r="N171">
        <f>AVERAGEIF(Raw_Data!A:A, Raw_Data!A171, Raw_Data!D:D)</f>
        <v>7.0352941176470587</v>
      </c>
      <c r="O171" t="str">
        <f t="shared" si="2"/>
        <v>High Solar</v>
      </c>
    </row>
    <row r="172" spans="1:15">
      <c r="A172" t="s">
        <v>37</v>
      </c>
      <c r="B172">
        <v>12.7</v>
      </c>
      <c r="C172">
        <v>3309</v>
      </c>
      <c r="D172">
        <v>9</v>
      </c>
      <c r="E172" t="s">
        <v>23</v>
      </c>
      <c r="F172">
        <v>40</v>
      </c>
      <c r="G172">
        <v>95</v>
      </c>
      <c r="H172">
        <v>7</v>
      </c>
      <c r="I172">
        <v>10.5</v>
      </c>
      <c r="J172" t="s">
        <v>17</v>
      </c>
      <c r="K172">
        <v>4.8</v>
      </c>
      <c r="L172">
        <v>57.2</v>
      </c>
      <c r="M172" t="s">
        <v>17</v>
      </c>
      <c r="N172">
        <f>AVERAGEIF(Raw_Data!A:A, Raw_Data!A172, Raw_Data!D:D)</f>
        <v>6.7384615384615376</v>
      </c>
      <c r="O172" t="str">
        <f t="shared" si="2"/>
        <v>High Solar</v>
      </c>
    </row>
    <row r="173" spans="1:15">
      <c r="A173" t="s">
        <v>29</v>
      </c>
      <c r="B173">
        <v>22.7</v>
      </c>
      <c r="C173">
        <v>4351</v>
      </c>
      <c r="D173">
        <v>4.4000000000000004</v>
      </c>
      <c r="E173" t="s">
        <v>16</v>
      </c>
      <c r="F173">
        <v>29</v>
      </c>
      <c r="G173">
        <v>63</v>
      </c>
      <c r="H173">
        <v>7</v>
      </c>
      <c r="I173">
        <v>33.5</v>
      </c>
      <c r="J173" t="s">
        <v>18</v>
      </c>
      <c r="K173">
        <v>4.2</v>
      </c>
      <c r="L173">
        <v>49.9</v>
      </c>
      <c r="M173" t="s">
        <v>18</v>
      </c>
      <c r="N173">
        <f>AVERAGEIF(Raw_Data!A:A, Raw_Data!A173, Raw_Data!D:D)</f>
        <v>7.0571428571428561</v>
      </c>
      <c r="O173" t="str">
        <f t="shared" si="2"/>
        <v>Medium Solar</v>
      </c>
    </row>
    <row r="174" spans="1:15">
      <c r="A174" t="s">
        <v>34</v>
      </c>
      <c r="B174">
        <v>3.3</v>
      </c>
      <c r="C174">
        <v>749</v>
      </c>
      <c r="D174">
        <v>9</v>
      </c>
      <c r="E174" t="s">
        <v>20</v>
      </c>
      <c r="F174">
        <v>33</v>
      </c>
      <c r="G174">
        <v>75</v>
      </c>
      <c r="H174">
        <v>5</v>
      </c>
      <c r="I174">
        <v>27.5</v>
      </c>
      <c r="J174" t="s">
        <v>17</v>
      </c>
      <c r="K174">
        <v>1.2</v>
      </c>
      <c r="L174">
        <v>14.9</v>
      </c>
      <c r="M174" t="s">
        <v>18</v>
      </c>
      <c r="N174">
        <f>AVERAGEIF(Raw_Data!A:A, Raw_Data!A174, Raw_Data!D:D)</f>
        <v>7.4411764705882346</v>
      </c>
      <c r="O174" t="str">
        <f t="shared" si="2"/>
        <v>High Solar</v>
      </c>
    </row>
    <row r="175" spans="1:15">
      <c r="A175" t="s">
        <v>31</v>
      </c>
      <c r="B175">
        <v>22.3</v>
      </c>
      <c r="C175">
        <v>4877</v>
      </c>
      <c r="D175">
        <v>5.5</v>
      </c>
      <c r="E175" t="s">
        <v>28</v>
      </c>
      <c r="F175">
        <v>30</v>
      </c>
      <c r="G175">
        <v>57</v>
      </c>
      <c r="H175">
        <v>6</v>
      </c>
      <c r="I175">
        <v>30.5</v>
      </c>
      <c r="J175" t="s">
        <v>18</v>
      </c>
      <c r="K175">
        <v>5.0999999999999996</v>
      </c>
      <c r="L175">
        <v>61.3</v>
      </c>
      <c r="M175" t="s">
        <v>18</v>
      </c>
      <c r="N175">
        <f>AVERAGEIF(Raw_Data!A:A, Raw_Data!A175, Raw_Data!D:D)</f>
        <v>6.5849999999999991</v>
      </c>
      <c r="O175" t="str">
        <f t="shared" si="2"/>
        <v>Medium Solar</v>
      </c>
    </row>
    <row r="176" spans="1:15">
      <c r="A176" t="s">
        <v>19</v>
      </c>
      <c r="B176">
        <v>8.4</v>
      </c>
      <c r="C176">
        <v>1370</v>
      </c>
      <c r="D176">
        <v>5</v>
      </c>
      <c r="E176" t="s">
        <v>28</v>
      </c>
      <c r="F176">
        <v>33</v>
      </c>
      <c r="G176">
        <v>76</v>
      </c>
      <c r="H176">
        <v>5</v>
      </c>
      <c r="I176">
        <v>24</v>
      </c>
      <c r="J176" t="s">
        <v>18</v>
      </c>
      <c r="K176">
        <v>1.8</v>
      </c>
      <c r="L176">
        <v>21</v>
      </c>
      <c r="M176" t="s">
        <v>18</v>
      </c>
      <c r="N176">
        <f>AVERAGEIF(Raw_Data!A:A, Raw_Data!A176, Raw_Data!D:D)</f>
        <v>6.8899999999999988</v>
      </c>
      <c r="O176" t="str">
        <f t="shared" si="2"/>
        <v>High Solar</v>
      </c>
    </row>
    <row r="177" spans="1:15">
      <c r="A177" t="s">
        <v>24</v>
      </c>
      <c r="B177">
        <v>10.5</v>
      </c>
      <c r="C177">
        <v>3648</v>
      </c>
      <c r="D177">
        <v>4.4000000000000004</v>
      </c>
      <c r="E177" t="s">
        <v>20</v>
      </c>
      <c r="F177">
        <v>29</v>
      </c>
      <c r="G177">
        <v>63</v>
      </c>
      <c r="H177">
        <v>7</v>
      </c>
      <c r="I177">
        <v>33.5</v>
      </c>
      <c r="J177" t="s">
        <v>18</v>
      </c>
      <c r="K177">
        <v>1.9</v>
      </c>
      <c r="L177">
        <v>23.1</v>
      </c>
      <c r="M177" t="s">
        <v>18</v>
      </c>
      <c r="N177">
        <f>AVERAGEIF(Raw_Data!A:A, Raw_Data!A177, Raw_Data!D:D)</f>
        <v>7.0352941176470587</v>
      </c>
      <c r="O177" t="str">
        <f t="shared" si="2"/>
        <v>Medium Solar</v>
      </c>
    </row>
    <row r="178" spans="1:15">
      <c r="A178" t="s">
        <v>27</v>
      </c>
      <c r="B178">
        <v>3</v>
      </c>
      <c r="C178">
        <v>582</v>
      </c>
      <c r="D178">
        <v>8.8000000000000007</v>
      </c>
      <c r="E178" t="s">
        <v>23</v>
      </c>
      <c r="F178">
        <v>32</v>
      </c>
      <c r="G178">
        <v>65</v>
      </c>
      <c r="H178">
        <v>4</v>
      </c>
      <c r="I178">
        <v>29.5</v>
      </c>
      <c r="J178" t="s">
        <v>17</v>
      </c>
      <c r="K178">
        <v>1.1000000000000001</v>
      </c>
      <c r="L178">
        <v>13.2</v>
      </c>
      <c r="M178" t="s">
        <v>18</v>
      </c>
      <c r="N178">
        <f>AVERAGEIF(Raw_Data!A:A, Raw_Data!A178, Raw_Data!D:D)</f>
        <v>6.8347826086956527</v>
      </c>
      <c r="O178" t="str">
        <f t="shared" si="2"/>
        <v>Medium Solar</v>
      </c>
    </row>
    <row r="179" spans="1:15">
      <c r="A179" t="s">
        <v>33</v>
      </c>
      <c r="B179">
        <v>17.899999999999999</v>
      </c>
      <c r="C179">
        <v>2526</v>
      </c>
      <c r="D179">
        <v>5.6</v>
      </c>
      <c r="E179" t="s">
        <v>16</v>
      </c>
      <c r="F179">
        <v>37</v>
      </c>
      <c r="G179">
        <v>95</v>
      </c>
      <c r="H179">
        <v>8</v>
      </c>
      <c r="I179">
        <v>10.5</v>
      </c>
      <c r="J179" t="s">
        <v>18</v>
      </c>
      <c r="K179">
        <v>4.2</v>
      </c>
      <c r="L179">
        <v>50.1</v>
      </c>
      <c r="M179" t="s">
        <v>17</v>
      </c>
      <c r="N179">
        <f>AVERAGEIF(Raw_Data!A:A, Raw_Data!A179, Raw_Data!D:D)</f>
        <v>7.1129032258064528</v>
      </c>
      <c r="O179" t="str">
        <f t="shared" si="2"/>
        <v>High Solar</v>
      </c>
    </row>
    <row r="180" spans="1:15">
      <c r="A180" t="s">
        <v>15</v>
      </c>
      <c r="B180">
        <v>24</v>
      </c>
      <c r="C180">
        <v>2441</v>
      </c>
      <c r="D180">
        <v>5.2</v>
      </c>
      <c r="E180" t="s">
        <v>20</v>
      </c>
      <c r="F180">
        <v>28</v>
      </c>
      <c r="G180">
        <v>39</v>
      </c>
      <c r="H180">
        <v>8</v>
      </c>
      <c r="I180">
        <v>41.5</v>
      </c>
      <c r="J180" t="s">
        <v>18</v>
      </c>
      <c r="K180">
        <v>5.2</v>
      </c>
      <c r="L180">
        <v>62.4</v>
      </c>
      <c r="M180" t="s">
        <v>21</v>
      </c>
      <c r="N180">
        <f>AVERAGEIF(Raw_Data!A:A, Raw_Data!A180, Raw_Data!D:D)</f>
        <v>7.1264705882352937</v>
      </c>
      <c r="O180" t="str">
        <f t="shared" si="2"/>
        <v>Low Solar</v>
      </c>
    </row>
    <row r="181" spans="1:15">
      <c r="A181" t="s">
        <v>22</v>
      </c>
      <c r="B181">
        <v>17.7</v>
      </c>
      <c r="C181">
        <v>4865</v>
      </c>
      <c r="D181">
        <v>8.4</v>
      </c>
      <c r="E181" t="s">
        <v>16</v>
      </c>
      <c r="F181">
        <v>29</v>
      </c>
      <c r="G181">
        <v>58</v>
      </c>
      <c r="H181">
        <v>8</v>
      </c>
      <c r="I181">
        <v>33</v>
      </c>
      <c r="J181" t="s">
        <v>17</v>
      </c>
      <c r="K181">
        <v>6.2</v>
      </c>
      <c r="L181">
        <v>74.3</v>
      </c>
      <c r="M181" t="s">
        <v>18</v>
      </c>
      <c r="N181">
        <f>AVERAGEIF(Raw_Data!A:A, Raw_Data!A181, Raw_Data!D:D)</f>
        <v>7.0051282051282051</v>
      </c>
      <c r="O181" t="str">
        <f t="shared" si="2"/>
        <v>Medium Solar</v>
      </c>
    </row>
    <row r="182" spans="1:15">
      <c r="A182" t="s">
        <v>34</v>
      </c>
      <c r="B182">
        <v>15.4</v>
      </c>
      <c r="C182">
        <v>2687</v>
      </c>
      <c r="D182">
        <v>8</v>
      </c>
      <c r="E182" t="s">
        <v>16</v>
      </c>
      <c r="F182">
        <v>40</v>
      </c>
      <c r="G182">
        <v>88</v>
      </c>
      <c r="H182">
        <v>7</v>
      </c>
      <c r="I182">
        <v>21</v>
      </c>
      <c r="J182" t="s">
        <v>17</v>
      </c>
      <c r="K182">
        <v>5.0999999999999996</v>
      </c>
      <c r="L182">
        <v>61.6</v>
      </c>
      <c r="M182" t="s">
        <v>17</v>
      </c>
      <c r="N182">
        <f>AVERAGEIF(Raw_Data!A:A, Raw_Data!A182, Raw_Data!D:D)</f>
        <v>7.4411764705882346</v>
      </c>
      <c r="O182" t="str">
        <f t="shared" si="2"/>
        <v>High Solar</v>
      </c>
    </row>
    <row r="183" spans="1:15">
      <c r="A183" t="s">
        <v>31</v>
      </c>
      <c r="B183">
        <v>10.6</v>
      </c>
      <c r="C183">
        <v>3100</v>
      </c>
      <c r="D183">
        <v>6.7</v>
      </c>
      <c r="E183" t="s">
        <v>16</v>
      </c>
      <c r="F183">
        <v>38</v>
      </c>
      <c r="G183">
        <v>77</v>
      </c>
      <c r="H183">
        <v>8</v>
      </c>
      <c r="I183">
        <v>21.5</v>
      </c>
      <c r="J183" t="s">
        <v>17</v>
      </c>
      <c r="K183">
        <v>3</v>
      </c>
      <c r="L183">
        <v>35.5</v>
      </c>
      <c r="M183" t="s">
        <v>17</v>
      </c>
      <c r="N183">
        <f>AVERAGEIF(Raw_Data!A:A, Raw_Data!A183, Raw_Data!D:D)</f>
        <v>6.5849999999999991</v>
      </c>
      <c r="O183" t="str">
        <f t="shared" si="2"/>
        <v>High Solar</v>
      </c>
    </row>
    <row r="184" spans="1:15">
      <c r="A184" t="s">
        <v>27</v>
      </c>
      <c r="B184">
        <v>12.7</v>
      </c>
      <c r="C184">
        <v>4814</v>
      </c>
      <c r="D184">
        <v>8.6999999999999993</v>
      </c>
      <c r="E184" t="s">
        <v>16</v>
      </c>
      <c r="F184">
        <v>31</v>
      </c>
      <c r="G184">
        <v>57</v>
      </c>
      <c r="H184">
        <v>8</v>
      </c>
      <c r="I184">
        <v>25.5</v>
      </c>
      <c r="J184" t="s">
        <v>17</v>
      </c>
      <c r="K184">
        <v>4.5999999999999996</v>
      </c>
      <c r="L184">
        <v>55.2</v>
      </c>
      <c r="M184" t="s">
        <v>18</v>
      </c>
      <c r="N184">
        <f>AVERAGEIF(Raw_Data!A:A, Raw_Data!A184, Raw_Data!D:D)</f>
        <v>6.8347826086956527</v>
      </c>
      <c r="O184" t="str">
        <f t="shared" si="2"/>
        <v>Medium Solar</v>
      </c>
    </row>
    <row r="185" spans="1:15">
      <c r="A185" t="s">
        <v>29</v>
      </c>
      <c r="B185">
        <v>5.4</v>
      </c>
      <c r="C185">
        <v>1078</v>
      </c>
      <c r="D185">
        <v>9.8000000000000007</v>
      </c>
      <c r="E185" t="s">
        <v>20</v>
      </c>
      <c r="F185">
        <v>45</v>
      </c>
      <c r="G185">
        <v>83</v>
      </c>
      <c r="H185">
        <v>4</v>
      </c>
      <c r="I185">
        <v>24.5</v>
      </c>
      <c r="J185" t="s">
        <v>17</v>
      </c>
      <c r="K185">
        <v>2.2000000000000002</v>
      </c>
      <c r="L185">
        <v>26.5</v>
      </c>
      <c r="M185" t="s">
        <v>18</v>
      </c>
      <c r="N185">
        <f>AVERAGEIF(Raw_Data!A:A, Raw_Data!A185, Raw_Data!D:D)</f>
        <v>7.0571428571428561</v>
      </c>
      <c r="O185" t="str">
        <f t="shared" si="2"/>
        <v>High Solar</v>
      </c>
    </row>
    <row r="186" spans="1:15">
      <c r="A186" t="s">
        <v>34</v>
      </c>
      <c r="B186">
        <v>9.9</v>
      </c>
      <c r="C186">
        <v>1376</v>
      </c>
      <c r="D186">
        <v>8.1999999999999993</v>
      </c>
      <c r="E186" t="s">
        <v>28</v>
      </c>
      <c r="F186">
        <v>28</v>
      </c>
      <c r="G186">
        <v>52</v>
      </c>
      <c r="H186">
        <v>7</v>
      </c>
      <c r="I186">
        <v>31</v>
      </c>
      <c r="J186" t="s">
        <v>17</v>
      </c>
      <c r="K186">
        <v>3.4</v>
      </c>
      <c r="L186">
        <v>40.6</v>
      </c>
      <c r="M186" t="s">
        <v>18</v>
      </c>
      <c r="N186">
        <f>AVERAGEIF(Raw_Data!A:A, Raw_Data!A186, Raw_Data!D:D)</f>
        <v>7.4411764705882346</v>
      </c>
      <c r="O186" t="str">
        <f t="shared" si="2"/>
        <v>Medium Solar</v>
      </c>
    </row>
    <row r="187" spans="1:15">
      <c r="A187" t="s">
        <v>33</v>
      </c>
      <c r="B187">
        <v>19.3</v>
      </c>
      <c r="C187">
        <v>4793</v>
      </c>
      <c r="D187">
        <v>6.6</v>
      </c>
      <c r="E187" t="s">
        <v>28</v>
      </c>
      <c r="F187">
        <v>37</v>
      </c>
      <c r="G187">
        <v>78</v>
      </c>
      <c r="H187">
        <v>9</v>
      </c>
      <c r="I187">
        <v>19</v>
      </c>
      <c r="J187" t="s">
        <v>17</v>
      </c>
      <c r="K187">
        <v>5.3</v>
      </c>
      <c r="L187">
        <v>63.7</v>
      </c>
      <c r="M187" t="s">
        <v>17</v>
      </c>
      <c r="N187">
        <f>AVERAGEIF(Raw_Data!A:A, Raw_Data!A187, Raw_Data!D:D)</f>
        <v>7.1129032258064528</v>
      </c>
      <c r="O187" t="str">
        <f t="shared" si="2"/>
        <v>High Solar</v>
      </c>
    </row>
    <row r="188" spans="1:15">
      <c r="A188" t="s">
        <v>34</v>
      </c>
      <c r="B188">
        <v>24</v>
      </c>
      <c r="C188">
        <v>2345</v>
      </c>
      <c r="D188">
        <v>7.8</v>
      </c>
      <c r="E188" t="s">
        <v>28</v>
      </c>
      <c r="F188">
        <v>45</v>
      </c>
      <c r="G188">
        <v>95</v>
      </c>
      <c r="H188">
        <v>8</v>
      </c>
      <c r="I188">
        <v>8.5</v>
      </c>
      <c r="J188" t="s">
        <v>17</v>
      </c>
      <c r="K188">
        <v>7.8</v>
      </c>
      <c r="L188">
        <v>93.6</v>
      </c>
      <c r="M188" t="s">
        <v>17</v>
      </c>
      <c r="N188">
        <f>AVERAGEIF(Raw_Data!A:A, Raw_Data!A188, Raw_Data!D:D)</f>
        <v>7.4411764705882346</v>
      </c>
      <c r="O188" t="str">
        <f t="shared" si="2"/>
        <v>High Solar</v>
      </c>
    </row>
    <row r="189" spans="1:15">
      <c r="A189" t="s">
        <v>24</v>
      </c>
      <c r="B189">
        <v>11.2</v>
      </c>
      <c r="C189">
        <v>3008</v>
      </c>
      <c r="D189">
        <v>9.6</v>
      </c>
      <c r="E189" t="s">
        <v>16</v>
      </c>
      <c r="F189">
        <v>37</v>
      </c>
      <c r="G189">
        <v>95</v>
      </c>
      <c r="H189">
        <v>8</v>
      </c>
      <c r="I189">
        <v>11.5</v>
      </c>
      <c r="J189" t="s">
        <v>17</v>
      </c>
      <c r="K189">
        <v>4.5</v>
      </c>
      <c r="L189">
        <v>53.8</v>
      </c>
      <c r="M189" t="s">
        <v>17</v>
      </c>
      <c r="N189">
        <f>AVERAGEIF(Raw_Data!A:A, Raw_Data!A189, Raw_Data!D:D)</f>
        <v>7.0352941176470587</v>
      </c>
      <c r="O189" t="str">
        <f t="shared" si="2"/>
        <v>High Solar</v>
      </c>
    </row>
    <row r="190" spans="1:15">
      <c r="A190" t="s">
        <v>33</v>
      </c>
      <c r="B190">
        <v>18.899999999999999</v>
      </c>
      <c r="C190">
        <v>4519</v>
      </c>
      <c r="D190">
        <v>9</v>
      </c>
      <c r="E190" t="s">
        <v>20</v>
      </c>
      <c r="F190">
        <v>33</v>
      </c>
      <c r="G190">
        <v>76</v>
      </c>
      <c r="H190">
        <v>7</v>
      </c>
      <c r="I190">
        <v>24</v>
      </c>
      <c r="J190" t="s">
        <v>17</v>
      </c>
      <c r="K190">
        <v>7.1</v>
      </c>
      <c r="L190">
        <v>85.1</v>
      </c>
      <c r="M190" t="s">
        <v>17</v>
      </c>
      <c r="N190">
        <f>AVERAGEIF(Raw_Data!A:A, Raw_Data!A190, Raw_Data!D:D)</f>
        <v>7.1129032258064528</v>
      </c>
      <c r="O190" t="str">
        <f t="shared" si="2"/>
        <v>High Solar</v>
      </c>
    </row>
    <row r="191" spans="1:15">
      <c r="A191" t="s">
        <v>24</v>
      </c>
      <c r="B191">
        <v>6.3</v>
      </c>
      <c r="C191">
        <v>1350</v>
      </c>
      <c r="D191">
        <v>5.0999999999999996</v>
      </c>
      <c r="E191" t="s">
        <v>20</v>
      </c>
      <c r="F191">
        <v>27</v>
      </c>
      <c r="G191">
        <v>35</v>
      </c>
      <c r="H191">
        <v>5</v>
      </c>
      <c r="I191">
        <v>49.5</v>
      </c>
      <c r="J191" t="s">
        <v>18</v>
      </c>
      <c r="K191">
        <v>1.3</v>
      </c>
      <c r="L191">
        <v>16.100000000000001</v>
      </c>
      <c r="M191" t="s">
        <v>21</v>
      </c>
      <c r="N191">
        <f>AVERAGEIF(Raw_Data!A:A, Raw_Data!A191, Raw_Data!D:D)</f>
        <v>7.0352941176470587</v>
      </c>
      <c r="O191" t="str">
        <f t="shared" si="2"/>
        <v>Low Solar</v>
      </c>
    </row>
    <row r="192" spans="1:15">
      <c r="A192" t="s">
        <v>29</v>
      </c>
      <c r="B192">
        <v>22.9</v>
      </c>
      <c r="C192">
        <v>4561</v>
      </c>
      <c r="D192">
        <v>6.8</v>
      </c>
      <c r="E192" t="s">
        <v>28</v>
      </c>
      <c r="F192">
        <v>45</v>
      </c>
      <c r="G192">
        <v>94</v>
      </c>
      <c r="H192">
        <v>7</v>
      </c>
      <c r="I192">
        <v>10</v>
      </c>
      <c r="J192" t="s">
        <v>17</v>
      </c>
      <c r="K192">
        <v>6.5</v>
      </c>
      <c r="L192">
        <v>77.900000000000006</v>
      </c>
      <c r="M192" t="s">
        <v>17</v>
      </c>
      <c r="N192">
        <f>AVERAGEIF(Raw_Data!A:A, Raw_Data!A192, Raw_Data!D:D)</f>
        <v>7.0571428571428561</v>
      </c>
      <c r="O192" t="str">
        <f t="shared" si="2"/>
        <v>High Solar</v>
      </c>
    </row>
    <row r="193" spans="1:15">
      <c r="A193" t="s">
        <v>31</v>
      </c>
      <c r="B193">
        <v>15.5</v>
      </c>
      <c r="C193">
        <v>4367</v>
      </c>
      <c r="D193">
        <v>5</v>
      </c>
      <c r="E193" t="s">
        <v>16</v>
      </c>
      <c r="F193">
        <v>33</v>
      </c>
      <c r="G193">
        <v>50</v>
      </c>
      <c r="H193">
        <v>9</v>
      </c>
      <c r="I193">
        <v>35</v>
      </c>
      <c r="J193" t="s">
        <v>18</v>
      </c>
      <c r="K193">
        <v>3.2</v>
      </c>
      <c r="L193">
        <v>38.799999999999997</v>
      </c>
      <c r="M193" t="s">
        <v>21</v>
      </c>
      <c r="N193">
        <f>AVERAGEIF(Raw_Data!A:A, Raw_Data!A193, Raw_Data!D:D)</f>
        <v>6.5849999999999991</v>
      </c>
      <c r="O193" t="str">
        <f t="shared" si="2"/>
        <v>Medium Solar</v>
      </c>
    </row>
    <row r="194" spans="1:15">
      <c r="A194" t="s">
        <v>15</v>
      </c>
      <c r="B194">
        <v>16.899999999999999</v>
      </c>
      <c r="C194">
        <v>4771</v>
      </c>
      <c r="D194">
        <v>5.0999999999999996</v>
      </c>
      <c r="E194" t="s">
        <v>20</v>
      </c>
      <c r="F194">
        <v>27</v>
      </c>
      <c r="G194">
        <v>58</v>
      </c>
      <c r="H194">
        <v>8</v>
      </c>
      <c r="I194">
        <v>25</v>
      </c>
      <c r="J194" t="s">
        <v>18</v>
      </c>
      <c r="K194">
        <v>3.6</v>
      </c>
      <c r="L194">
        <v>43.1</v>
      </c>
      <c r="M194" t="s">
        <v>18</v>
      </c>
      <c r="N194">
        <f>AVERAGEIF(Raw_Data!A:A, Raw_Data!A194, Raw_Data!D:D)</f>
        <v>7.1264705882352937</v>
      </c>
      <c r="O194" t="str">
        <f t="shared" ref="O194:O257" si="3">IF(G194&gt;70, "High Solar", IF(G194&lt;50, "Low Solar", "Medium Solar"))</f>
        <v>Medium Solar</v>
      </c>
    </row>
    <row r="195" spans="1:15">
      <c r="A195" t="s">
        <v>29</v>
      </c>
      <c r="B195">
        <v>17.3</v>
      </c>
      <c r="C195">
        <v>2930</v>
      </c>
      <c r="D195">
        <v>8.8000000000000007</v>
      </c>
      <c r="E195" t="s">
        <v>23</v>
      </c>
      <c r="F195">
        <v>32</v>
      </c>
      <c r="G195">
        <v>58</v>
      </c>
      <c r="H195">
        <v>6</v>
      </c>
      <c r="I195">
        <v>30</v>
      </c>
      <c r="J195" t="s">
        <v>17</v>
      </c>
      <c r="K195">
        <v>6.3</v>
      </c>
      <c r="L195">
        <v>76.099999999999994</v>
      </c>
      <c r="M195" t="s">
        <v>18</v>
      </c>
      <c r="N195">
        <f>AVERAGEIF(Raw_Data!A:A, Raw_Data!A195, Raw_Data!D:D)</f>
        <v>7.0571428571428561</v>
      </c>
      <c r="O195" t="str">
        <f t="shared" si="3"/>
        <v>Medium Solar</v>
      </c>
    </row>
    <row r="196" spans="1:15">
      <c r="A196" t="s">
        <v>24</v>
      </c>
      <c r="B196">
        <v>14.2</v>
      </c>
      <c r="C196">
        <v>3991</v>
      </c>
      <c r="D196">
        <v>8</v>
      </c>
      <c r="E196" t="s">
        <v>20</v>
      </c>
      <c r="F196">
        <v>33</v>
      </c>
      <c r="G196">
        <v>54</v>
      </c>
      <c r="H196">
        <v>6</v>
      </c>
      <c r="I196">
        <v>36</v>
      </c>
      <c r="J196" t="s">
        <v>17</v>
      </c>
      <c r="K196">
        <v>4.7</v>
      </c>
      <c r="L196">
        <v>56.8</v>
      </c>
      <c r="M196" t="s">
        <v>18</v>
      </c>
      <c r="N196">
        <f>AVERAGEIF(Raw_Data!A:A, Raw_Data!A196, Raw_Data!D:D)</f>
        <v>7.0352941176470587</v>
      </c>
      <c r="O196" t="str">
        <f t="shared" si="3"/>
        <v>Medium Solar</v>
      </c>
    </row>
    <row r="197" spans="1:15">
      <c r="A197" t="s">
        <v>22</v>
      </c>
      <c r="B197">
        <v>18.399999999999999</v>
      </c>
      <c r="C197">
        <v>4903</v>
      </c>
      <c r="D197">
        <v>6</v>
      </c>
      <c r="E197" t="s">
        <v>20</v>
      </c>
      <c r="F197">
        <v>40</v>
      </c>
      <c r="G197">
        <v>94</v>
      </c>
      <c r="H197">
        <v>6</v>
      </c>
      <c r="I197">
        <v>12</v>
      </c>
      <c r="J197" t="s">
        <v>18</v>
      </c>
      <c r="K197">
        <v>4.5999999999999996</v>
      </c>
      <c r="L197">
        <v>55.2</v>
      </c>
      <c r="M197" t="s">
        <v>17</v>
      </c>
      <c r="N197">
        <f>AVERAGEIF(Raw_Data!A:A, Raw_Data!A197, Raw_Data!D:D)</f>
        <v>7.0051282051282051</v>
      </c>
      <c r="O197" t="str">
        <f t="shared" si="3"/>
        <v>High Solar</v>
      </c>
    </row>
    <row r="198" spans="1:15">
      <c r="A198" t="s">
        <v>35</v>
      </c>
      <c r="B198">
        <v>23</v>
      </c>
      <c r="C198">
        <v>4315</v>
      </c>
      <c r="D198">
        <v>7.7</v>
      </c>
      <c r="E198" t="s">
        <v>16</v>
      </c>
      <c r="F198">
        <v>31</v>
      </c>
      <c r="G198">
        <v>80</v>
      </c>
      <c r="H198">
        <v>9</v>
      </c>
      <c r="I198">
        <v>22</v>
      </c>
      <c r="J198" t="s">
        <v>17</v>
      </c>
      <c r="K198">
        <v>7.4</v>
      </c>
      <c r="L198">
        <v>88.6</v>
      </c>
      <c r="M198" t="s">
        <v>17</v>
      </c>
      <c r="N198">
        <f>AVERAGEIF(Raw_Data!A:A, Raw_Data!A198, Raw_Data!D:D)</f>
        <v>7.4206896551724144</v>
      </c>
      <c r="O198" t="str">
        <f t="shared" si="3"/>
        <v>High Solar</v>
      </c>
    </row>
    <row r="199" spans="1:15">
      <c r="A199" t="s">
        <v>30</v>
      </c>
      <c r="B199">
        <v>8.4</v>
      </c>
      <c r="C199">
        <v>1641</v>
      </c>
      <c r="D199">
        <v>5.5</v>
      </c>
      <c r="E199" t="s">
        <v>23</v>
      </c>
      <c r="F199">
        <v>30</v>
      </c>
      <c r="G199">
        <v>63</v>
      </c>
      <c r="H199">
        <v>5</v>
      </c>
      <c r="I199">
        <v>32.5</v>
      </c>
      <c r="J199" t="s">
        <v>18</v>
      </c>
      <c r="K199">
        <v>1.9</v>
      </c>
      <c r="L199">
        <v>23.1</v>
      </c>
      <c r="M199" t="s">
        <v>18</v>
      </c>
      <c r="N199">
        <f>AVERAGEIF(Raw_Data!A:A, Raw_Data!A199, Raw_Data!D:D)</f>
        <v>7</v>
      </c>
      <c r="O199" t="str">
        <f t="shared" si="3"/>
        <v>Medium Solar</v>
      </c>
    </row>
    <row r="200" spans="1:15">
      <c r="A200" t="s">
        <v>26</v>
      </c>
      <c r="B200">
        <v>19.600000000000001</v>
      </c>
      <c r="C200">
        <v>3557</v>
      </c>
      <c r="D200">
        <v>9.3000000000000007</v>
      </c>
      <c r="E200" t="s">
        <v>28</v>
      </c>
      <c r="F200">
        <v>42</v>
      </c>
      <c r="G200">
        <v>70</v>
      </c>
      <c r="H200">
        <v>6</v>
      </c>
      <c r="I200">
        <v>27</v>
      </c>
      <c r="J200" t="s">
        <v>17</v>
      </c>
      <c r="K200">
        <v>7.6</v>
      </c>
      <c r="L200">
        <v>91.1</v>
      </c>
      <c r="M200" t="s">
        <v>18</v>
      </c>
      <c r="N200">
        <f>AVERAGEIF(Raw_Data!A:A, Raw_Data!A200, Raw_Data!D:D)</f>
        <v>6.9771428571428586</v>
      </c>
      <c r="O200" t="str">
        <f t="shared" si="3"/>
        <v>Medium Solar</v>
      </c>
    </row>
    <row r="201" spans="1:15">
      <c r="A201" t="s">
        <v>26</v>
      </c>
      <c r="B201">
        <v>4.5999999999999996</v>
      </c>
      <c r="C201">
        <v>647</v>
      </c>
      <c r="D201">
        <v>8.3000000000000007</v>
      </c>
      <c r="E201" t="s">
        <v>16</v>
      </c>
      <c r="F201">
        <v>35</v>
      </c>
      <c r="G201">
        <v>71</v>
      </c>
      <c r="H201">
        <v>2</v>
      </c>
      <c r="I201">
        <v>38.5</v>
      </c>
      <c r="J201" t="s">
        <v>17</v>
      </c>
      <c r="K201">
        <v>1.6</v>
      </c>
      <c r="L201">
        <v>19.100000000000001</v>
      </c>
      <c r="M201" t="s">
        <v>18</v>
      </c>
      <c r="N201">
        <f>AVERAGEIF(Raw_Data!A:A, Raw_Data!A201, Raw_Data!D:D)</f>
        <v>6.9771428571428586</v>
      </c>
      <c r="O201" t="str">
        <f t="shared" si="3"/>
        <v>High Solar</v>
      </c>
    </row>
    <row r="202" spans="1:15">
      <c r="A202" t="s">
        <v>30</v>
      </c>
      <c r="B202">
        <v>13.9</v>
      </c>
      <c r="C202">
        <v>3314</v>
      </c>
      <c r="D202">
        <v>6.5</v>
      </c>
      <c r="E202" t="s">
        <v>16</v>
      </c>
      <c r="F202">
        <v>30</v>
      </c>
      <c r="G202">
        <v>51</v>
      </c>
      <c r="H202">
        <v>7</v>
      </c>
      <c r="I202">
        <v>35.5</v>
      </c>
      <c r="J202" t="s">
        <v>17</v>
      </c>
      <c r="K202">
        <v>3.8</v>
      </c>
      <c r="L202">
        <v>45.2</v>
      </c>
      <c r="M202" t="s">
        <v>18</v>
      </c>
      <c r="N202">
        <f>AVERAGEIF(Raw_Data!A:A, Raw_Data!A202, Raw_Data!D:D)</f>
        <v>7</v>
      </c>
      <c r="O202" t="str">
        <f t="shared" si="3"/>
        <v>Medium Solar</v>
      </c>
    </row>
    <row r="203" spans="1:15">
      <c r="A203" t="s">
        <v>26</v>
      </c>
      <c r="B203">
        <v>22.3</v>
      </c>
      <c r="C203">
        <v>4790</v>
      </c>
      <c r="D203">
        <v>6.3</v>
      </c>
      <c r="E203" t="s">
        <v>16</v>
      </c>
      <c r="F203">
        <v>35</v>
      </c>
      <c r="G203">
        <v>55</v>
      </c>
      <c r="H203">
        <v>9</v>
      </c>
      <c r="I203">
        <v>34.5</v>
      </c>
      <c r="J203" t="s">
        <v>17</v>
      </c>
      <c r="K203">
        <v>5.9</v>
      </c>
      <c r="L203">
        <v>70.2</v>
      </c>
      <c r="M203" t="s">
        <v>18</v>
      </c>
      <c r="N203">
        <f>AVERAGEIF(Raw_Data!A:A, Raw_Data!A203, Raw_Data!D:D)</f>
        <v>6.9771428571428586</v>
      </c>
      <c r="O203" t="str">
        <f t="shared" si="3"/>
        <v>Medium Solar</v>
      </c>
    </row>
    <row r="204" spans="1:15">
      <c r="A204" t="s">
        <v>33</v>
      </c>
      <c r="B204">
        <v>12.9</v>
      </c>
      <c r="C204">
        <v>3331</v>
      </c>
      <c r="D204">
        <v>7.3</v>
      </c>
      <c r="E204" t="s">
        <v>20</v>
      </c>
      <c r="F204">
        <v>35</v>
      </c>
      <c r="G204">
        <v>56</v>
      </c>
      <c r="H204">
        <v>9</v>
      </c>
      <c r="I204">
        <v>33</v>
      </c>
      <c r="J204" t="s">
        <v>17</v>
      </c>
      <c r="K204">
        <v>3.9</v>
      </c>
      <c r="L204">
        <v>47.1</v>
      </c>
      <c r="M204" t="s">
        <v>18</v>
      </c>
      <c r="N204">
        <f>AVERAGEIF(Raw_Data!A:A, Raw_Data!A204, Raw_Data!D:D)</f>
        <v>7.1129032258064528</v>
      </c>
      <c r="O204" t="str">
        <f t="shared" si="3"/>
        <v>Medium Solar</v>
      </c>
    </row>
    <row r="205" spans="1:15">
      <c r="A205" t="s">
        <v>31</v>
      </c>
      <c r="B205">
        <v>18.899999999999999</v>
      </c>
      <c r="C205">
        <v>3429</v>
      </c>
      <c r="D205">
        <v>6.7</v>
      </c>
      <c r="E205" t="s">
        <v>20</v>
      </c>
      <c r="F205">
        <v>31</v>
      </c>
      <c r="G205">
        <v>80</v>
      </c>
      <c r="H205">
        <v>7</v>
      </c>
      <c r="I205">
        <v>17</v>
      </c>
      <c r="J205" t="s">
        <v>17</v>
      </c>
      <c r="K205">
        <v>5.3</v>
      </c>
      <c r="L205">
        <v>63.3</v>
      </c>
      <c r="M205" t="s">
        <v>17</v>
      </c>
      <c r="N205">
        <f>AVERAGEIF(Raw_Data!A:A, Raw_Data!A205, Raw_Data!D:D)</f>
        <v>6.5849999999999991</v>
      </c>
      <c r="O205" t="str">
        <f t="shared" si="3"/>
        <v>High Solar</v>
      </c>
    </row>
    <row r="206" spans="1:15">
      <c r="A206" t="s">
        <v>24</v>
      </c>
      <c r="B206">
        <v>8.9</v>
      </c>
      <c r="C206">
        <v>1374</v>
      </c>
      <c r="D206">
        <v>10.3</v>
      </c>
      <c r="E206" t="s">
        <v>20</v>
      </c>
      <c r="F206">
        <v>42</v>
      </c>
      <c r="G206">
        <v>88</v>
      </c>
      <c r="H206">
        <v>4</v>
      </c>
      <c r="I206">
        <v>20</v>
      </c>
      <c r="J206" t="s">
        <v>32</v>
      </c>
      <c r="K206">
        <v>3.8</v>
      </c>
      <c r="L206">
        <v>45.8</v>
      </c>
      <c r="M206" t="s">
        <v>18</v>
      </c>
      <c r="N206">
        <f>AVERAGEIF(Raw_Data!A:A, Raw_Data!A206, Raw_Data!D:D)</f>
        <v>7.0352941176470587</v>
      </c>
      <c r="O206" t="str">
        <f t="shared" si="3"/>
        <v>High Solar</v>
      </c>
    </row>
    <row r="207" spans="1:15">
      <c r="A207" t="s">
        <v>35</v>
      </c>
      <c r="B207">
        <v>12.7</v>
      </c>
      <c r="C207">
        <v>3703</v>
      </c>
      <c r="D207">
        <v>9.3000000000000007</v>
      </c>
      <c r="E207" t="s">
        <v>20</v>
      </c>
      <c r="F207">
        <v>42</v>
      </c>
      <c r="G207">
        <v>84</v>
      </c>
      <c r="H207">
        <v>6</v>
      </c>
      <c r="I207">
        <v>26</v>
      </c>
      <c r="J207" t="s">
        <v>17</v>
      </c>
      <c r="K207">
        <v>4.9000000000000004</v>
      </c>
      <c r="L207">
        <v>59.1</v>
      </c>
      <c r="M207" t="s">
        <v>17</v>
      </c>
      <c r="N207">
        <f>AVERAGEIF(Raw_Data!A:A, Raw_Data!A207, Raw_Data!D:D)</f>
        <v>7.4206896551724144</v>
      </c>
      <c r="O207" t="str">
        <f t="shared" si="3"/>
        <v>High Solar</v>
      </c>
    </row>
    <row r="208" spans="1:15">
      <c r="A208" t="s">
        <v>37</v>
      </c>
      <c r="B208">
        <v>8.6999999999999993</v>
      </c>
      <c r="C208">
        <v>1288</v>
      </c>
      <c r="D208">
        <v>4.4000000000000004</v>
      </c>
      <c r="E208" t="s">
        <v>28</v>
      </c>
      <c r="F208">
        <v>29</v>
      </c>
      <c r="G208">
        <v>65</v>
      </c>
      <c r="H208">
        <v>4</v>
      </c>
      <c r="I208">
        <v>31.5</v>
      </c>
      <c r="J208" t="s">
        <v>18</v>
      </c>
      <c r="K208">
        <v>1.6</v>
      </c>
      <c r="L208">
        <v>19.100000000000001</v>
      </c>
      <c r="M208" t="s">
        <v>18</v>
      </c>
      <c r="N208">
        <f>AVERAGEIF(Raw_Data!A:A, Raw_Data!A208, Raw_Data!D:D)</f>
        <v>6.7384615384615376</v>
      </c>
      <c r="O208" t="str">
        <f t="shared" si="3"/>
        <v>Medium Solar</v>
      </c>
    </row>
    <row r="209" spans="1:15">
      <c r="A209" t="s">
        <v>30</v>
      </c>
      <c r="B209">
        <v>18</v>
      </c>
      <c r="C209">
        <v>3187</v>
      </c>
      <c r="D209">
        <v>4.0999999999999996</v>
      </c>
      <c r="E209" t="s">
        <v>20</v>
      </c>
      <c r="F209">
        <v>27</v>
      </c>
      <c r="G209">
        <v>64</v>
      </c>
      <c r="H209">
        <v>7</v>
      </c>
      <c r="I209">
        <v>30</v>
      </c>
      <c r="J209" t="s">
        <v>18</v>
      </c>
      <c r="K209">
        <v>3.1</v>
      </c>
      <c r="L209">
        <v>36.9</v>
      </c>
      <c r="M209" t="s">
        <v>18</v>
      </c>
      <c r="N209">
        <f>AVERAGEIF(Raw_Data!A:A, Raw_Data!A209, Raw_Data!D:D)</f>
        <v>7</v>
      </c>
      <c r="O209" t="str">
        <f t="shared" si="3"/>
        <v>Medium Solar</v>
      </c>
    </row>
    <row r="210" spans="1:15">
      <c r="A210" t="s">
        <v>22</v>
      </c>
      <c r="B210">
        <v>14.6</v>
      </c>
      <c r="C210">
        <v>4173</v>
      </c>
      <c r="D210">
        <v>10.8</v>
      </c>
      <c r="E210" t="s">
        <v>23</v>
      </c>
      <c r="F210">
        <v>45</v>
      </c>
      <c r="G210">
        <v>83</v>
      </c>
      <c r="H210">
        <v>7</v>
      </c>
      <c r="I210">
        <v>22.5</v>
      </c>
      <c r="J210" t="s">
        <v>32</v>
      </c>
      <c r="K210">
        <v>6.6</v>
      </c>
      <c r="L210">
        <v>78.8</v>
      </c>
      <c r="M210" t="s">
        <v>17</v>
      </c>
      <c r="N210">
        <f>AVERAGEIF(Raw_Data!A:A, Raw_Data!A210, Raw_Data!D:D)</f>
        <v>7.0051282051282051</v>
      </c>
      <c r="O210" t="str">
        <f t="shared" si="3"/>
        <v>High Solar</v>
      </c>
    </row>
    <row r="211" spans="1:15">
      <c r="A211" t="s">
        <v>29</v>
      </c>
      <c r="B211">
        <v>5.6</v>
      </c>
      <c r="C211">
        <v>1865</v>
      </c>
      <c r="D211">
        <v>7.8</v>
      </c>
      <c r="E211" t="s">
        <v>20</v>
      </c>
      <c r="F211">
        <v>25</v>
      </c>
      <c r="G211">
        <v>48</v>
      </c>
      <c r="H211">
        <v>4</v>
      </c>
      <c r="I211">
        <v>44</v>
      </c>
      <c r="J211" t="s">
        <v>17</v>
      </c>
      <c r="K211">
        <v>1.8</v>
      </c>
      <c r="L211">
        <v>21.8</v>
      </c>
      <c r="M211" t="s">
        <v>21</v>
      </c>
      <c r="N211">
        <f>AVERAGEIF(Raw_Data!A:A, Raw_Data!A211, Raw_Data!D:D)</f>
        <v>7.0571428571428561</v>
      </c>
      <c r="O211" t="str">
        <f t="shared" si="3"/>
        <v>Low Solar</v>
      </c>
    </row>
    <row r="212" spans="1:15">
      <c r="A212" t="s">
        <v>15</v>
      </c>
      <c r="B212">
        <v>18.8</v>
      </c>
      <c r="C212">
        <v>2167</v>
      </c>
      <c r="D212">
        <v>6.6</v>
      </c>
      <c r="E212" t="s">
        <v>20</v>
      </c>
      <c r="F212">
        <v>37</v>
      </c>
      <c r="G212">
        <v>87</v>
      </c>
      <c r="H212">
        <v>6</v>
      </c>
      <c r="I212">
        <v>15.5</v>
      </c>
      <c r="J212" t="s">
        <v>17</v>
      </c>
      <c r="K212">
        <v>5.2</v>
      </c>
      <c r="L212">
        <v>62</v>
      </c>
      <c r="M212" t="s">
        <v>17</v>
      </c>
      <c r="N212">
        <f>AVERAGEIF(Raw_Data!A:A, Raw_Data!A212, Raw_Data!D:D)</f>
        <v>7.1264705882352937</v>
      </c>
      <c r="O212" t="str">
        <f t="shared" si="3"/>
        <v>High Solar</v>
      </c>
    </row>
    <row r="213" spans="1:15">
      <c r="A213" t="s">
        <v>27</v>
      </c>
      <c r="B213">
        <v>13.8</v>
      </c>
      <c r="C213">
        <v>3122</v>
      </c>
      <c r="D213">
        <v>4.2</v>
      </c>
      <c r="E213" t="s">
        <v>23</v>
      </c>
      <c r="F213">
        <v>28</v>
      </c>
      <c r="G213">
        <v>32</v>
      </c>
      <c r="H213">
        <v>8</v>
      </c>
      <c r="I213">
        <v>48</v>
      </c>
      <c r="J213" t="s">
        <v>18</v>
      </c>
      <c r="K213">
        <v>2.4</v>
      </c>
      <c r="L213">
        <v>29</v>
      </c>
      <c r="M213" t="s">
        <v>21</v>
      </c>
      <c r="N213">
        <f>AVERAGEIF(Raw_Data!A:A, Raw_Data!A213, Raw_Data!D:D)</f>
        <v>6.8347826086956527</v>
      </c>
      <c r="O213" t="str">
        <f t="shared" si="3"/>
        <v>Low Solar</v>
      </c>
    </row>
    <row r="214" spans="1:15">
      <c r="A214" t="s">
        <v>30</v>
      </c>
      <c r="B214">
        <v>3.5</v>
      </c>
      <c r="C214">
        <v>750</v>
      </c>
      <c r="D214">
        <v>8.6</v>
      </c>
      <c r="E214" t="s">
        <v>20</v>
      </c>
      <c r="F214">
        <v>37</v>
      </c>
      <c r="G214">
        <v>90</v>
      </c>
      <c r="H214">
        <v>4</v>
      </c>
      <c r="I214">
        <v>22</v>
      </c>
      <c r="J214" t="s">
        <v>17</v>
      </c>
      <c r="K214">
        <v>1.3</v>
      </c>
      <c r="L214">
        <v>15.1</v>
      </c>
      <c r="M214" t="s">
        <v>18</v>
      </c>
      <c r="N214">
        <f>AVERAGEIF(Raw_Data!A:A, Raw_Data!A214, Raw_Data!D:D)</f>
        <v>7</v>
      </c>
      <c r="O214" t="str">
        <f t="shared" si="3"/>
        <v>High Solar</v>
      </c>
    </row>
    <row r="215" spans="1:15">
      <c r="A215" t="s">
        <v>24</v>
      </c>
      <c r="B215">
        <v>13.2</v>
      </c>
      <c r="C215">
        <v>3469</v>
      </c>
      <c r="D215">
        <v>8.1999999999999993</v>
      </c>
      <c r="E215" t="s">
        <v>23</v>
      </c>
      <c r="F215">
        <v>28</v>
      </c>
      <c r="G215">
        <v>37</v>
      </c>
      <c r="H215">
        <v>7</v>
      </c>
      <c r="I215">
        <v>43.5</v>
      </c>
      <c r="J215" t="s">
        <v>17</v>
      </c>
      <c r="K215">
        <v>4.5</v>
      </c>
      <c r="L215">
        <v>54.1</v>
      </c>
      <c r="M215" t="s">
        <v>21</v>
      </c>
      <c r="N215">
        <f>AVERAGEIF(Raw_Data!A:A, Raw_Data!A215, Raw_Data!D:D)</f>
        <v>7.0352941176470587</v>
      </c>
      <c r="O215" t="str">
        <f t="shared" si="3"/>
        <v>Low Solar</v>
      </c>
    </row>
    <row r="216" spans="1:15">
      <c r="A216" t="s">
        <v>37</v>
      </c>
      <c r="B216">
        <v>9.3000000000000007</v>
      </c>
      <c r="C216">
        <v>1152</v>
      </c>
      <c r="D216">
        <v>4.5</v>
      </c>
      <c r="E216" t="s">
        <v>20</v>
      </c>
      <c r="F216">
        <v>30</v>
      </c>
      <c r="G216">
        <v>64</v>
      </c>
      <c r="H216">
        <v>5</v>
      </c>
      <c r="I216">
        <v>33</v>
      </c>
      <c r="J216" t="s">
        <v>18</v>
      </c>
      <c r="K216">
        <v>1.7</v>
      </c>
      <c r="L216">
        <v>20.9</v>
      </c>
      <c r="M216" t="s">
        <v>18</v>
      </c>
      <c r="N216">
        <f>AVERAGEIF(Raw_Data!A:A, Raw_Data!A216, Raw_Data!D:D)</f>
        <v>6.7384615384615376</v>
      </c>
      <c r="O216" t="str">
        <f t="shared" si="3"/>
        <v>Medium Solar</v>
      </c>
    </row>
    <row r="217" spans="1:15">
      <c r="A217" t="s">
        <v>27</v>
      </c>
      <c r="B217">
        <v>1.8</v>
      </c>
      <c r="C217">
        <v>412</v>
      </c>
      <c r="D217">
        <v>10.8</v>
      </c>
      <c r="E217" t="s">
        <v>23</v>
      </c>
      <c r="F217">
        <v>45</v>
      </c>
      <c r="G217">
        <v>75</v>
      </c>
      <c r="H217">
        <v>3</v>
      </c>
      <c r="I217">
        <v>33.5</v>
      </c>
      <c r="J217" t="s">
        <v>32</v>
      </c>
      <c r="K217">
        <v>0.8</v>
      </c>
      <c r="L217">
        <v>9.6999999999999993</v>
      </c>
      <c r="M217" t="s">
        <v>18</v>
      </c>
      <c r="N217">
        <f>AVERAGEIF(Raw_Data!A:A, Raw_Data!A217, Raw_Data!D:D)</f>
        <v>6.8347826086956527</v>
      </c>
      <c r="O217" t="str">
        <f t="shared" si="3"/>
        <v>High Solar</v>
      </c>
    </row>
    <row r="218" spans="1:15">
      <c r="A218" t="s">
        <v>35</v>
      </c>
      <c r="B218">
        <v>16.600000000000001</v>
      </c>
      <c r="C218">
        <v>4762</v>
      </c>
      <c r="D218">
        <v>7.7</v>
      </c>
      <c r="E218" t="s">
        <v>23</v>
      </c>
      <c r="F218">
        <v>31</v>
      </c>
      <c r="G218">
        <v>54</v>
      </c>
      <c r="H218">
        <v>8</v>
      </c>
      <c r="I218">
        <v>34</v>
      </c>
      <c r="J218" t="s">
        <v>17</v>
      </c>
      <c r="K218">
        <v>5.3</v>
      </c>
      <c r="L218">
        <v>63.9</v>
      </c>
      <c r="M218" t="s">
        <v>18</v>
      </c>
      <c r="N218">
        <f>AVERAGEIF(Raw_Data!A:A, Raw_Data!A218, Raw_Data!D:D)</f>
        <v>7.4206896551724144</v>
      </c>
      <c r="O218" t="str">
        <f t="shared" si="3"/>
        <v>Medium Solar</v>
      </c>
    </row>
    <row r="219" spans="1:15">
      <c r="A219" t="s">
        <v>26</v>
      </c>
      <c r="B219">
        <v>15</v>
      </c>
      <c r="C219">
        <v>4874</v>
      </c>
      <c r="D219">
        <v>8.6</v>
      </c>
      <c r="E219" t="s">
        <v>20</v>
      </c>
      <c r="F219">
        <v>37</v>
      </c>
      <c r="G219">
        <v>88</v>
      </c>
      <c r="H219">
        <v>6</v>
      </c>
      <c r="I219">
        <v>24</v>
      </c>
      <c r="J219" t="s">
        <v>17</v>
      </c>
      <c r="K219">
        <v>5.4</v>
      </c>
      <c r="L219">
        <v>64.5</v>
      </c>
      <c r="M219" t="s">
        <v>17</v>
      </c>
      <c r="N219">
        <f>AVERAGEIF(Raw_Data!A:A, Raw_Data!A219, Raw_Data!D:D)</f>
        <v>6.9771428571428586</v>
      </c>
      <c r="O219" t="str">
        <f t="shared" si="3"/>
        <v>High Solar</v>
      </c>
    </row>
    <row r="220" spans="1:15">
      <c r="A220" t="s">
        <v>22</v>
      </c>
      <c r="B220">
        <v>8.3000000000000007</v>
      </c>
      <c r="C220">
        <v>1113</v>
      </c>
      <c r="D220">
        <v>7.8</v>
      </c>
      <c r="E220" t="s">
        <v>28</v>
      </c>
      <c r="F220">
        <v>45</v>
      </c>
      <c r="G220">
        <v>74</v>
      </c>
      <c r="H220">
        <v>5</v>
      </c>
      <c r="I220">
        <v>23</v>
      </c>
      <c r="J220" t="s">
        <v>17</v>
      </c>
      <c r="K220">
        <v>2.7</v>
      </c>
      <c r="L220">
        <v>32.4</v>
      </c>
      <c r="M220" t="s">
        <v>18</v>
      </c>
      <c r="N220">
        <f>AVERAGEIF(Raw_Data!A:A, Raw_Data!A220, Raw_Data!D:D)</f>
        <v>7.0051282051282051</v>
      </c>
      <c r="O220" t="str">
        <f t="shared" si="3"/>
        <v>High Solar</v>
      </c>
    </row>
    <row r="221" spans="1:15">
      <c r="A221" t="s">
        <v>30</v>
      </c>
      <c r="B221">
        <v>6.7</v>
      </c>
      <c r="C221">
        <v>1468</v>
      </c>
      <c r="D221">
        <v>5.8</v>
      </c>
      <c r="E221" t="s">
        <v>20</v>
      </c>
      <c r="F221">
        <v>32</v>
      </c>
      <c r="G221">
        <v>56</v>
      </c>
      <c r="H221">
        <v>6</v>
      </c>
      <c r="I221">
        <v>33</v>
      </c>
      <c r="J221" t="s">
        <v>18</v>
      </c>
      <c r="K221">
        <v>1.6</v>
      </c>
      <c r="L221">
        <v>19.399999999999999</v>
      </c>
      <c r="M221" t="s">
        <v>18</v>
      </c>
      <c r="N221">
        <f>AVERAGEIF(Raw_Data!A:A, Raw_Data!A221, Raw_Data!D:D)</f>
        <v>7</v>
      </c>
      <c r="O221" t="str">
        <f t="shared" si="3"/>
        <v>Medium Solar</v>
      </c>
    </row>
    <row r="222" spans="1:15">
      <c r="A222" t="s">
        <v>33</v>
      </c>
      <c r="B222">
        <v>24.7</v>
      </c>
      <c r="C222">
        <v>2334</v>
      </c>
      <c r="D222">
        <v>4.2</v>
      </c>
      <c r="E222" t="s">
        <v>28</v>
      </c>
      <c r="F222">
        <v>28</v>
      </c>
      <c r="G222">
        <v>64</v>
      </c>
      <c r="H222">
        <v>9</v>
      </c>
      <c r="I222">
        <v>25</v>
      </c>
      <c r="J222" t="s">
        <v>18</v>
      </c>
      <c r="K222">
        <v>4.3</v>
      </c>
      <c r="L222">
        <v>51.9</v>
      </c>
      <c r="M222" t="s">
        <v>18</v>
      </c>
      <c r="N222">
        <f>AVERAGEIF(Raw_Data!A:A, Raw_Data!A222, Raw_Data!D:D)</f>
        <v>7.1129032258064528</v>
      </c>
      <c r="O222" t="str">
        <f t="shared" si="3"/>
        <v>Medium Solar</v>
      </c>
    </row>
    <row r="223" spans="1:15">
      <c r="A223" t="s">
        <v>31</v>
      </c>
      <c r="B223">
        <v>10.7</v>
      </c>
      <c r="C223">
        <v>4465</v>
      </c>
      <c r="D223">
        <v>7.1</v>
      </c>
      <c r="E223" t="s">
        <v>28</v>
      </c>
      <c r="F223">
        <v>27</v>
      </c>
      <c r="G223">
        <v>38</v>
      </c>
      <c r="H223">
        <v>6</v>
      </c>
      <c r="I223">
        <v>47</v>
      </c>
      <c r="J223" t="s">
        <v>17</v>
      </c>
      <c r="K223">
        <v>3.2</v>
      </c>
      <c r="L223">
        <v>38</v>
      </c>
      <c r="M223" t="s">
        <v>21</v>
      </c>
      <c r="N223">
        <f>AVERAGEIF(Raw_Data!A:A, Raw_Data!A223, Raw_Data!D:D)</f>
        <v>6.5849999999999991</v>
      </c>
      <c r="O223" t="str">
        <f t="shared" si="3"/>
        <v>Low Solar</v>
      </c>
    </row>
    <row r="224" spans="1:15">
      <c r="A224" t="s">
        <v>33</v>
      </c>
      <c r="B224">
        <v>10.9</v>
      </c>
      <c r="C224">
        <v>2355</v>
      </c>
      <c r="D224">
        <v>8.4</v>
      </c>
      <c r="E224" t="s">
        <v>23</v>
      </c>
      <c r="F224">
        <v>29</v>
      </c>
      <c r="G224">
        <v>65</v>
      </c>
      <c r="H224">
        <v>8</v>
      </c>
      <c r="I224">
        <v>27.5</v>
      </c>
      <c r="J224" t="s">
        <v>17</v>
      </c>
      <c r="K224">
        <v>3.8</v>
      </c>
      <c r="L224">
        <v>45.8</v>
      </c>
      <c r="M224" t="s">
        <v>18</v>
      </c>
      <c r="N224">
        <f>AVERAGEIF(Raw_Data!A:A, Raw_Data!A224, Raw_Data!D:D)</f>
        <v>7.1129032258064528</v>
      </c>
      <c r="O224" t="str">
        <f t="shared" si="3"/>
        <v>Medium Solar</v>
      </c>
    </row>
    <row r="225" spans="1:15">
      <c r="A225" t="s">
        <v>35</v>
      </c>
      <c r="B225">
        <v>14.1</v>
      </c>
      <c r="C225">
        <v>4274</v>
      </c>
      <c r="D225">
        <v>8.1</v>
      </c>
      <c r="E225" t="s">
        <v>28</v>
      </c>
      <c r="F225">
        <v>34</v>
      </c>
      <c r="G225">
        <v>65</v>
      </c>
      <c r="H225">
        <v>7</v>
      </c>
      <c r="I225">
        <v>26.5</v>
      </c>
      <c r="J225" t="s">
        <v>17</v>
      </c>
      <c r="K225">
        <v>4.8</v>
      </c>
      <c r="L225">
        <v>57.1</v>
      </c>
      <c r="M225" t="s">
        <v>18</v>
      </c>
      <c r="N225">
        <f>AVERAGEIF(Raw_Data!A:A, Raw_Data!A225, Raw_Data!D:D)</f>
        <v>7.4206896551724144</v>
      </c>
      <c r="O225" t="str">
        <f t="shared" si="3"/>
        <v>Medium Solar</v>
      </c>
    </row>
    <row r="226" spans="1:15">
      <c r="A226" t="s">
        <v>15</v>
      </c>
      <c r="B226">
        <v>8.4</v>
      </c>
      <c r="C226">
        <v>1211</v>
      </c>
      <c r="D226">
        <v>6.1</v>
      </c>
      <c r="E226" t="s">
        <v>20</v>
      </c>
      <c r="F226">
        <v>34</v>
      </c>
      <c r="G226">
        <v>53</v>
      </c>
      <c r="H226">
        <v>5</v>
      </c>
      <c r="I226">
        <v>37.5</v>
      </c>
      <c r="J226" t="s">
        <v>17</v>
      </c>
      <c r="K226">
        <v>2.1</v>
      </c>
      <c r="L226">
        <v>25.6</v>
      </c>
      <c r="M226" t="s">
        <v>18</v>
      </c>
      <c r="N226">
        <f>AVERAGEIF(Raw_Data!A:A, Raw_Data!A226, Raw_Data!D:D)</f>
        <v>7.1264705882352937</v>
      </c>
      <c r="O226" t="str">
        <f t="shared" si="3"/>
        <v>Medium Solar</v>
      </c>
    </row>
    <row r="227" spans="1:15">
      <c r="A227" t="s">
        <v>30</v>
      </c>
      <c r="B227">
        <v>18.2</v>
      </c>
      <c r="C227">
        <v>2224</v>
      </c>
      <c r="D227">
        <v>5.8</v>
      </c>
      <c r="E227" t="s">
        <v>20</v>
      </c>
      <c r="F227">
        <v>25</v>
      </c>
      <c r="G227">
        <v>48</v>
      </c>
      <c r="H227">
        <v>6</v>
      </c>
      <c r="I227">
        <v>39</v>
      </c>
      <c r="J227" t="s">
        <v>18</v>
      </c>
      <c r="K227">
        <v>4.4000000000000004</v>
      </c>
      <c r="L227">
        <v>52.8</v>
      </c>
      <c r="M227" t="s">
        <v>21</v>
      </c>
      <c r="N227">
        <f>AVERAGEIF(Raw_Data!A:A, Raw_Data!A227, Raw_Data!D:D)</f>
        <v>7</v>
      </c>
      <c r="O227" t="str">
        <f t="shared" si="3"/>
        <v>Low Solar</v>
      </c>
    </row>
    <row r="228" spans="1:15">
      <c r="A228" t="s">
        <v>24</v>
      </c>
      <c r="B228">
        <v>8.3000000000000007</v>
      </c>
      <c r="C228">
        <v>1415</v>
      </c>
      <c r="D228">
        <v>4.0999999999999996</v>
      </c>
      <c r="E228" t="s">
        <v>20</v>
      </c>
      <c r="F228">
        <v>27</v>
      </c>
      <c r="G228">
        <v>38</v>
      </c>
      <c r="H228">
        <v>4</v>
      </c>
      <c r="I228">
        <v>51</v>
      </c>
      <c r="J228" t="s">
        <v>18</v>
      </c>
      <c r="K228">
        <v>1.4</v>
      </c>
      <c r="L228">
        <v>17</v>
      </c>
      <c r="M228" t="s">
        <v>21</v>
      </c>
      <c r="N228">
        <f>AVERAGEIF(Raw_Data!A:A, Raw_Data!A228, Raw_Data!D:D)</f>
        <v>7.0352941176470587</v>
      </c>
      <c r="O228" t="str">
        <f t="shared" si="3"/>
        <v>Low Solar</v>
      </c>
    </row>
    <row r="229" spans="1:15">
      <c r="A229" t="s">
        <v>33</v>
      </c>
      <c r="B229">
        <v>21.6</v>
      </c>
      <c r="C229">
        <v>2182</v>
      </c>
      <c r="D229">
        <v>7.8</v>
      </c>
      <c r="E229" t="s">
        <v>28</v>
      </c>
      <c r="F229">
        <v>45</v>
      </c>
      <c r="G229">
        <v>87</v>
      </c>
      <c r="H229">
        <v>8</v>
      </c>
      <c r="I229">
        <v>11.5</v>
      </c>
      <c r="J229" t="s">
        <v>17</v>
      </c>
      <c r="K229">
        <v>7</v>
      </c>
      <c r="L229">
        <v>84.2</v>
      </c>
      <c r="M229" t="s">
        <v>17</v>
      </c>
      <c r="N229">
        <f>AVERAGEIF(Raw_Data!A:A, Raw_Data!A229, Raw_Data!D:D)</f>
        <v>7.1129032258064528</v>
      </c>
      <c r="O229" t="str">
        <f t="shared" si="3"/>
        <v>High Solar</v>
      </c>
    </row>
    <row r="230" spans="1:15">
      <c r="A230" t="s">
        <v>37</v>
      </c>
      <c r="B230">
        <v>17.8</v>
      </c>
      <c r="C230">
        <v>3492</v>
      </c>
      <c r="D230">
        <v>8</v>
      </c>
      <c r="E230" t="s">
        <v>23</v>
      </c>
      <c r="F230">
        <v>33</v>
      </c>
      <c r="G230">
        <v>71</v>
      </c>
      <c r="H230">
        <v>9</v>
      </c>
      <c r="I230">
        <v>22.5</v>
      </c>
      <c r="J230" t="s">
        <v>17</v>
      </c>
      <c r="K230">
        <v>5.9</v>
      </c>
      <c r="L230">
        <v>71.2</v>
      </c>
      <c r="M230" t="s">
        <v>17</v>
      </c>
      <c r="N230">
        <f>AVERAGEIF(Raw_Data!A:A, Raw_Data!A230, Raw_Data!D:D)</f>
        <v>6.7384615384615376</v>
      </c>
      <c r="O230" t="str">
        <f t="shared" si="3"/>
        <v>High Solar</v>
      </c>
    </row>
    <row r="231" spans="1:15">
      <c r="A231" t="s">
        <v>33</v>
      </c>
      <c r="B231">
        <v>15.5</v>
      </c>
      <c r="C231">
        <v>2891</v>
      </c>
      <c r="D231">
        <v>8</v>
      </c>
      <c r="E231" t="s">
        <v>20</v>
      </c>
      <c r="F231">
        <v>40</v>
      </c>
      <c r="G231">
        <v>71</v>
      </c>
      <c r="H231">
        <v>6</v>
      </c>
      <c r="I231">
        <v>29.5</v>
      </c>
      <c r="J231" t="s">
        <v>17</v>
      </c>
      <c r="K231">
        <v>5.2</v>
      </c>
      <c r="L231">
        <v>62</v>
      </c>
      <c r="M231" t="s">
        <v>17</v>
      </c>
      <c r="N231">
        <f>AVERAGEIF(Raw_Data!A:A, Raw_Data!A231, Raw_Data!D:D)</f>
        <v>7.1129032258064528</v>
      </c>
      <c r="O231" t="str">
        <f t="shared" si="3"/>
        <v>High Solar</v>
      </c>
    </row>
    <row r="232" spans="1:15">
      <c r="A232" t="s">
        <v>25</v>
      </c>
      <c r="B232">
        <v>11.3</v>
      </c>
      <c r="C232">
        <v>4427</v>
      </c>
      <c r="D232">
        <v>5.5</v>
      </c>
      <c r="E232" t="s">
        <v>28</v>
      </c>
      <c r="F232">
        <v>30</v>
      </c>
      <c r="G232">
        <v>58</v>
      </c>
      <c r="H232">
        <v>8</v>
      </c>
      <c r="I232">
        <v>28</v>
      </c>
      <c r="J232" t="s">
        <v>18</v>
      </c>
      <c r="K232">
        <v>2.6</v>
      </c>
      <c r="L232">
        <v>31.1</v>
      </c>
      <c r="M232" t="s">
        <v>18</v>
      </c>
      <c r="N232">
        <f>AVERAGEIF(Raw_Data!A:A, Raw_Data!A232, Raw_Data!D:D)</f>
        <v>7.0823529411764703</v>
      </c>
      <c r="O232" t="str">
        <f t="shared" si="3"/>
        <v>Medium Solar</v>
      </c>
    </row>
    <row r="233" spans="1:15">
      <c r="A233" t="s">
        <v>27</v>
      </c>
      <c r="B233">
        <v>10.199999999999999</v>
      </c>
      <c r="C233">
        <v>2888</v>
      </c>
      <c r="D233">
        <v>4.4000000000000004</v>
      </c>
      <c r="E233" t="s">
        <v>28</v>
      </c>
      <c r="F233">
        <v>29</v>
      </c>
      <c r="G233">
        <v>31</v>
      </c>
      <c r="H233">
        <v>6</v>
      </c>
      <c r="I233">
        <v>44.5</v>
      </c>
      <c r="J233" t="s">
        <v>18</v>
      </c>
      <c r="K233">
        <v>1.9</v>
      </c>
      <c r="L233">
        <v>22.4</v>
      </c>
      <c r="M233" t="s">
        <v>21</v>
      </c>
      <c r="N233">
        <f>AVERAGEIF(Raw_Data!A:A, Raw_Data!A233, Raw_Data!D:D)</f>
        <v>6.8347826086956527</v>
      </c>
      <c r="O233" t="str">
        <f t="shared" si="3"/>
        <v>Low Solar</v>
      </c>
    </row>
    <row r="234" spans="1:15">
      <c r="A234" t="s">
        <v>31</v>
      </c>
      <c r="B234">
        <v>21.4</v>
      </c>
      <c r="C234">
        <v>4545</v>
      </c>
      <c r="D234">
        <v>5.7</v>
      </c>
      <c r="E234" t="s">
        <v>28</v>
      </c>
      <c r="F234">
        <v>31</v>
      </c>
      <c r="G234">
        <v>58</v>
      </c>
      <c r="H234">
        <v>6</v>
      </c>
      <c r="I234">
        <v>39</v>
      </c>
      <c r="J234" t="s">
        <v>18</v>
      </c>
      <c r="K234">
        <v>5.0999999999999996</v>
      </c>
      <c r="L234">
        <v>61</v>
      </c>
      <c r="M234" t="s">
        <v>18</v>
      </c>
      <c r="N234">
        <f>AVERAGEIF(Raw_Data!A:A, Raw_Data!A234, Raw_Data!D:D)</f>
        <v>6.5849999999999991</v>
      </c>
      <c r="O234" t="str">
        <f t="shared" si="3"/>
        <v>Medium Solar</v>
      </c>
    </row>
    <row r="235" spans="1:15">
      <c r="A235" t="s">
        <v>15</v>
      </c>
      <c r="B235">
        <v>9.4</v>
      </c>
      <c r="C235">
        <v>1500</v>
      </c>
      <c r="D235">
        <v>6.2</v>
      </c>
      <c r="E235" t="s">
        <v>16</v>
      </c>
      <c r="F235">
        <v>28</v>
      </c>
      <c r="G235">
        <v>38</v>
      </c>
      <c r="H235">
        <v>5</v>
      </c>
      <c r="I235">
        <v>47</v>
      </c>
      <c r="J235" t="s">
        <v>17</v>
      </c>
      <c r="K235">
        <v>2.4</v>
      </c>
      <c r="L235">
        <v>29.1</v>
      </c>
      <c r="M235" t="s">
        <v>21</v>
      </c>
      <c r="N235">
        <f>AVERAGEIF(Raw_Data!A:A, Raw_Data!A235, Raw_Data!D:D)</f>
        <v>7.1264705882352937</v>
      </c>
      <c r="O235" t="str">
        <f t="shared" si="3"/>
        <v>Low Solar</v>
      </c>
    </row>
    <row r="236" spans="1:15">
      <c r="A236" t="s">
        <v>29</v>
      </c>
      <c r="B236">
        <v>23.6</v>
      </c>
      <c r="C236">
        <v>2248</v>
      </c>
      <c r="D236">
        <v>5.2</v>
      </c>
      <c r="E236" t="s">
        <v>16</v>
      </c>
      <c r="F236">
        <v>28</v>
      </c>
      <c r="G236">
        <v>50</v>
      </c>
      <c r="H236">
        <v>9</v>
      </c>
      <c r="I236">
        <v>29</v>
      </c>
      <c r="J236" t="s">
        <v>18</v>
      </c>
      <c r="K236">
        <v>5.0999999999999996</v>
      </c>
      <c r="L236">
        <v>61.4</v>
      </c>
      <c r="M236" t="s">
        <v>21</v>
      </c>
      <c r="N236">
        <f>AVERAGEIF(Raw_Data!A:A, Raw_Data!A236, Raw_Data!D:D)</f>
        <v>7.0571428571428561</v>
      </c>
      <c r="O236" t="str">
        <f t="shared" si="3"/>
        <v>Medium Solar</v>
      </c>
    </row>
    <row r="237" spans="1:15">
      <c r="A237" t="s">
        <v>29</v>
      </c>
      <c r="B237">
        <v>11.1</v>
      </c>
      <c r="C237">
        <v>3528</v>
      </c>
      <c r="D237">
        <v>6.8</v>
      </c>
      <c r="E237" t="s">
        <v>20</v>
      </c>
      <c r="F237">
        <v>25</v>
      </c>
      <c r="G237">
        <v>52</v>
      </c>
      <c r="H237">
        <v>6</v>
      </c>
      <c r="I237">
        <v>32</v>
      </c>
      <c r="J237" t="s">
        <v>17</v>
      </c>
      <c r="K237">
        <v>3.1</v>
      </c>
      <c r="L237">
        <v>37.700000000000003</v>
      </c>
      <c r="M237" t="s">
        <v>18</v>
      </c>
      <c r="N237">
        <f>AVERAGEIF(Raw_Data!A:A, Raw_Data!A237, Raw_Data!D:D)</f>
        <v>7.0571428571428561</v>
      </c>
      <c r="O237" t="str">
        <f t="shared" si="3"/>
        <v>Medium Solar</v>
      </c>
    </row>
    <row r="238" spans="1:15">
      <c r="A238" t="s">
        <v>24</v>
      </c>
      <c r="B238">
        <v>9</v>
      </c>
      <c r="C238">
        <v>837</v>
      </c>
      <c r="D238">
        <v>6.1</v>
      </c>
      <c r="E238" t="s">
        <v>23</v>
      </c>
      <c r="F238">
        <v>27</v>
      </c>
      <c r="G238">
        <v>39</v>
      </c>
      <c r="H238">
        <v>7</v>
      </c>
      <c r="I238">
        <v>44.5</v>
      </c>
      <c r="J238" t="s">
        <v>17</v>
      </c>
      <c r="K238">
        <v>2.2999999999999998</v>
      </c>
      <c r="L238">
        <v>27.5</v>
      </c>
      <c r="M238" t="s">
        <v>21</v>
      </c>
      <c r="N238">
        <f>AVERAGEIF(Raw_Data!A:A, Raw_Data!A238, Raw_Data!D:D)</f>
        <v>7.0352941176470587</v>
      </c>
      <c r="O238" t="str">
        <f t="shared" si="3"/>
        <v>Low Solar</v>
      </c>
    </row>
    <row r="239" spans="1:15">
      <c r="A239" t="s">
        <v>19</v>
      </c>
      <c r="B239">
        <v>16.600000000000001</v>
      </c>
      <c r="C239">
        <v>2014</v>
      </c>
      <c r="D239">
        <v>4.8</v>
      </c>
      <c r="E239" t="s">
        <v>28</v>
      </c>
      <c r="F239">
        <v>32</v>
      </c>
      <c r="G239">
        <v>61</v>
      </c>
      <c r="H239">
        <v>9</v>
      </c>
      <c r="I239">
        <v>27.5</v>
      </c>
      <c r="J239" t="s">
        <v>18</v>
      </c>
      <c r="K239">
        <v>3.3</v>
      </c>
      <c r="L239">
        <v>39.799999999999997</v>
      </c>
      <c r="M239" t="s">
        <v>18</v>
      </c>
      <c r="N239">
        <f>AVERAGEIF(Raw_Data!A:A, Raw_Data!A239, Raw_Data!D:D)</f>
        <v>6.8899999999999988</v>
      </c>
      <c r="O239" t="str">
        <f t="shared" si="3"/>
        <v>Medium Solar</v>
      </c>
    </row>
    <row r="240" spans="1:15">
      <c r="A240" t="s">
        <v>35</v>
      </c>
      <c r="B240">
        <v>13.4</v>
      </c>
      <c r="C240">
        <v>4091</v>
      </c>
      <c r="D240">
        <v>4.8</v>
      </c>
      <c r="E240" t="s">
        <v>28</v>
      </c>
      <c r="F240">
        <v>32</v>
      </c>
      <c r="G240">
        <v>69</v>
      </c>
      <c r="H240">
        <v>8</v>
      </c>
      <c r="I240">
        <v>26.5</v>
      </c>
      <c r="J240" t="s">
        <v>18</v>
      </c>
      <c r="K240">
        <v>2.7</v>
      </c>
      <c r="L240">
        <v>32.200000000000003</v>
      </c>
      <c r="M240" t="s">
        <v>18</v>
      </c>
      <c r="N240">
        <f>AVERAGEIF(Raw_Data!A:A, Raw_Data!A240, Raw_Data!D:D)</f>
        <v>7.4206896551724144</v>
      </c>
      <c r="O240" t="str">
        <f t="shared" si="3"/>
        <v>Medium Solar</v>
      </c>
    </row>
    <row r="241" spans="1:15">
      <c r="A241" t="s">
        <v>26</v>
      </c>
      <c r="B241">
        <v>10.199999999999999</v>
      </c>
      <c r="C241">
        <v>4193</v>
      </c>
      <c r="D241">
        <v>7.5</v>
      </c>
      <c r="E241" t="s">
        <v>28</v>
      </c>
      <c r="F241">
        <v>30</v>
      </c>
      <c r="G241">
        <v>53</v>
      </c>
      <c r="H241">
        <v>7</v>
      </c>
      <c r="I241">
        <v>29.5</v>
      </c>
      <c r="J241" t="s">
        <v>17</v>
      </c>
      <c r="K241">
        <v>3.2</v>
      </c>
      <c r="L241">
        <v>38.299999999999997</v>
      </c>
      <c r="M241" t="s">
        <v>18</v>
      </c>
      <c r="N241">
        <f>AVERAGEIF(Raw_Data!A:A, Raw_Data!A241, Raw_Data!D:D)</f>
        <v>6.9771428571428586</v>
      </c>
      <c r="O241" t="str">
        <f t="shared" si="3"/>
        <v>Medium Solar</v>
      </c>
    </row>
    <row r="242" spans="1:15">
      <c r="A242" t="s">
        <v>25</v>
      </c>
      <c r="B242">
        <v>6</v>
      </c>
      <c r="C242">
        <v>1365</v>
      </c>
      <c r="D242">
        <v>6.8</v>
      </c>
      <c r="E242" t="s">
        <v>28</v>
      </c>
      <c r="F242">
        <v>45</v>
      </c>
      <c r="G242">
        <v>92</v>
      </c>
      <c r="H242">
        <v>5</v>
      </c>
      <c r="I242">
        <v>15</v>
      </c>
      <c r="J242" t="s">
        <v>17</v>
      </c>
      <c r="K242">
        <v>1.7</v>
      </c>
      <c r="L242">
        <v>20.399999999999999</v>
      </c>
      <c r="M242" t="s">
        <v>18</v>
      </c>
      <c r="N242">
        <f>AVERAGEIF(Raw_Data!A:A, Raw_Data!A242, Raw_Data!D:D)</f>
        <v>7.0823529411764703</v>
      </c>
      <c r="O242" t="str">
        <f t="shared" si="3"/>
        <v>High Solar</v>
      </c>
    </row>
    <row r="243" spans="1:15">
      <c r="A243" t="s">
        <v>26</v>
      </c>
      <c r="B243">
        <v>2.7</v>
      </c>
      <c r="C243">
        <v>482</v>
      </c>
      <c r="D243">
        <v>6.2</v>
      </c>
      <c r="E243" t="s">
        <v>28</v>
      </c>
      <c r="F243">
        <v>28</v>
      </c>
      <c r="G243">
        <v>59</v>
      </c>
      <c r="H243">
        <v>3</v>
      </c>
      <c r="I243">
        <v>34.5</v>
      </c>
      <c r="J243" t="s">
        <v>17</v>
      </c>
      <c r="K243">
        <v>0.7</v>
      </c>
      <c r="L243">
        <v>8.4</v>
      </c>
      <c r="M243" t="s">
        <v>18</v>
      </c>
      <c r="N243">
        <f>AVERAGEIF(Raw_Data!A:A, Raw_Data!A243, Raw_Data!D:D)</f>
        <v>6.9771428571428586</v>
      </c>
      <c r="O243" t="str">
        <f t="shared" si="3"/>
        <v>Medium Solar</v>
      </c>
    </row>
    <row r="244" spans="1:15">
      <c r="A244" t="s">
        <v>24</v>
      </c>
      <c r="B244">
        <v>1.7</v>
      </c>
      <c r="C244">
        <v>742</v>
      </c>
      <c r="D244">
        <v>7.2</v>
      </c>
      <c r="E244" t="s">
        <v>23</v>
      </c>
      <c r="F244">
        <v>28</v>
      </c>
      <c r="G244">
        <v>39</v>
      </c>
      <c r="H244">
        <v>4</v>
      </c>
      <c r="I244">
        <v>44.5</v>
      </c>
      <c r="J244" t="s">
        <v>17</v>
      </c>
      <c r="K244">
        <v>0.5</v>
      </c>
      <c r="L244">
        <v>6.1</v>
      </c>
      <c r="M244" t="s">
        <v>21</v>
      </c>
      <c r="N244">
        <f>AVERAGEIF(Raw_Data!A:A, Raw_Data!A244, Raw_Data!D:D)</f>
        <v>7.0352941176470587</v>
      </c>
      <c r="O244" t="str">
        <f t="shared" si="3"/>
        <v>Low Solar</v>
      </c>
    </row>
    <row r="245" spans="1:15">
      <c r="A245" t="s">
        <v>35</v>
      </c>
      <c r="B245">
        <v>14.3</v>
      </c>
      <c r="C245">
        <v>4561</v>
      </c>
      <c r="D245">
        <v>8.6</v>
      </c>
      <c r="E245" t="s">
        <v>28</v>
      </c>
      <c r="F245">
        <v>37</v>
      </c>
      <c r="G245">
        <v>81</v>
      </c>
      <c r="H245">
        <v>9</v>
      </c>
      <c r="I245">
        <v>14.5</v>
      </c>
      <c r="J245" t="s">
        <v>17</v>
      </c>
      <c r="K245">
        <v>5.0999999999999996</v>
      </c>
      <c r="L245">
        <v>61.5</v>
      </c>
      <c r="M245" t="s">
        <v>17</v>
      </c>
      <c r="N245">
        <f>AVERAGEIF(Raw_Data!A:A, Raw_Data!A245, Raw_Data!D:D)</f>
        <v>7.4206896551724144</v>
      </c>
      <c r="O245" t="str">
        <f t="shared" si="3"/>
        <v>High Solar</v>
      </c>
    </row>
    <row r="246" spans="1:15">
      <c r="A246" t="s">
        <v>35</v>
      </c>
      <c r="B246">
        <v>12.5</v>
      </c>
      <c r="C246">
        <v>3611</v>
      </c>
      <c r="D246">
        <v>8.8000000000000007</v>
      </c>
      <c r="E246" t="s">
        <v>20</v>
      </c>
      <c r="F246">
        <v>45</v>
      </c>
      <c r="G246">
        <v>95</v>
      </c>
      <c r="H246">
        <v>6</v>
      </c>
      <c r="I246">
        <v>18.5</v>
      </c>
      <c r="J246" t="s">
        <v>17</v>
      </c>
      <c r="K246">
        <v>4.5999999999999996</v>
      </c>
      <c r="L246">
        <v>55</v>
      </c>
      <c r="M246" t="s">
        <v>17</v>
      </c>
      <c r="N246">
        <f>AVERAGEIF(Raw_Data!A:A, Raw_Data!A246, Raw_Data!D:D)</f>
        <v>7.4206896551724144</v>
      </c>
      <c r="O246" t="str">
        <f t="shared" si="3"/>
        <v>High Solar</v>
      </c>
    </row>
    <row r="247" spans="1:15">
      <c r="A247" t="s">
        <v>22</v>
      </c>
      <c r="B247">
        <v>9.3000000000000007</v>
      </c>
      <c r="C247">
        <v>853</v>
      </c>
      <c r="D247">
        <v>5.8</v>
      </c>
      <c r="E247" t="s">
        <v>20</v>
      </c>
      <c r="F247">
        <v>25</v>
      </c>
      <c r="G247">
        <v>63</v>
      </c>
      <c r="H247">
        <v>7</v>
      </c>
      <c r="I247">
        <v>33.5</v>
      </c>
      <c r="J247" t="s">
        <v>18</v>
      </c>
      <c r="K247">
        <v>2.2000000000000002</v>
      </c>
      <c r="L247">
        <v>27</v>
      </c>
      <c r="M247" t="s">
        <v>18</v>
      </c>
      <c r="N247">
        <f>AVERAGEIF(Raw_Data!A:A, Raw_Data!A247, Raw_Data!D:D)</f>
        <v>7.0051282051282051</v>
      </c>
      <c r="O247" t="str">
        <f t="shared" si="3"/>
        <v>Medium Solar</v>
      </c>
    </row>
    <row r="248" spans="1:15">
      <c r="A248" t="s">
        <v>15</v>
      </c>
      <c r="B248">
        <v>8.6999999999999993</v>
      </c>
      <c r="C248">
        <v>1920</v>
      </c>
      <c r="D248">
        <v>4.0999999999999996</v>
      </c>
      <c r="E248" t="s">
        <v>23</v>
      </c>
      <c r="F248">
        <v>27</v>
      </c>
      <c r="G248">
        <v>53</v>
      </c>
      <c r="H248">
        <v>6</v>
      </c>
      <c r="I248">
        <v>37.5</v>
      </c>
      <c r="J248" t="s">
        <v>18</v>
      </c>
      <c r="K248">
        <v>1.5</v>
      </c>
      <c r="L248">
        <v>17.8</v>
      </c>
      <c r="M248" t="s">
        <v>18</v>
      </c>
      <c r="N248">
        <f>AVERAGEIF(Raw_Data!A:A, Raw_Data!A248, Raw_Data!D:D)</f>
        <v>7.1264705882352937</v>
      </c>
      <c r="O248" t="str">
        <f t="shared" si="3"/>
        <v>Medium Solar</v>
      </c>
    </row>
    <row r="249" spans="1:15">
      <c r="A249" t="s">
        <v>29</v>
      </c>
      <c r="B249">
        <v>10.6</v>
      </c>
      <c r="C249">
        <v>3762</v>
      </c>
      <c r="D249">
        <v>7.2</v>
      </c>
      <c r="E249" t="s">
        <v>20</v>
      </c>
      <c r="F249">
        <v>28</v>
      </c>
      <c r="G249">
        <v>57</v>
      </c>
      <c r="H249">
        <v>7</v>
      </c>
      <c r="I249">
        <v>34.5</v>
      </c>
      <c r="J249" t="s">
        <v>17</v>
      </c>
      <c r="K249">
        <v>3.2</v>
      </c>
      <c r="L249">
        <v>38.200000000000003</v>
      </c>
      <c r="M249" t="s">
        <v>18</v>
      </c>
      <c r="N249">
        <f>AVERAGEIF(Raw_Data!A:A, Raw_Data!A249, Raw_Data!D:D)</f>
        <v>7.0571428571428561</v>
      </c>
      <c r="O249" t="str">
        <f t="shared" si="3"/>
        <v>Medium Solar</v>
      </c>
    </row>
    <row r="250" spans="1:15">
      <c r="A250" t="s">
        <v>36</v>
      </c>
      <c r="B250">
        <v>2.1</v>
      </c>
      <c r="C250">
        <v>793</v>
      </c>
      <c r="D250">
        <v>6</v>
      </c>
      <c r="E250" t="s">
        <v>20</v>
      </c>
      <c r="F250">
        <v>33</v>
      </c>
      <c r="G250">
        <v>63</v>
      </c>
      <c r="H250">
        <v>3</v>
      </c>
      <c r="I250">
        <v>42.5</v>
      </c>
      <c r="J250" t="s">
        <v>18</v>
      </c>
      <c r="K250">
        <v>0.5</v>
      </c>
      <c r="L250">
        <v>6.3</v>
      </c>
      <c r="M250" t="s">
        <v>18</v>
      </c>
      <c r="N250">
        <f>AVERAGEIF(Raw_Data!A:A, Raw_Data!A250, Raw_Data!D:D)</f>
        <v>7.5260869565217385</v>
      </c>
      <c r="O250" t="str">
        <f t="shared" si="3"/>
        <v>Medium Solar</v>
      </c>
    </row>
    <row r="251" spans="1:15">
      <c r="A251" t="s">
        <v>25</v>
      </c>
      <c r="B251">
        <v>14.3</v>
      </c>
      <c r="C251">
        <v>4395</v>
      </c>
      <c r="D251">
        <v>6.7</v>
      </c>
      <c r="E251" t="s">
        <v>20</v>
      </c>
      <c r="F251">
        <v>38</v>
      </c>
      <c r="G251">
        <v>86</v>
      </c>
      <c r="H251">
        <v>7</v>
      </c>
      <c r="I251">
        <v>21</v>
      </c>
      <c r="J251" t="s">
        <v>17</v>
      </c>
      <c r="K251">
        <v>4</v>
      </c>
      <c r="L251">
        <v>47.9</v>
      </c>
      <c r="M251" t="s">
        <v>17</v>
      </c>
      <c r="N251">
        <f>AVERAGEIF(Raw_Data!A:A, Raw_Data!A251, Raw_Data!D:D)</f>
        <v>7.0823529411764703</v>
      </c>
      <c r="O251" t="str">
        <f t="shared" si="3"/>
        <v>High Solar</v>
      </c>
    </row>
    <row r="252" spans="1:15">
      <c r="A252" t="s">
        <v>31</v>
      </c>
      <c r="B252">
        <v>16.3</v>
      </c>
      <c r="C252">
        <v>2450</v>
      </c>
      <c r="D252">
        <v>4.8</v>
      </c>
      <c r="E252" t="s">
        <v>20</v>
      </c>
      <c r="F252">
        <v>25</v>
      </c>
      <c r="G252">
        <v>51</v>
      </c>
      <c r="H252">
        <v>7</v>
      </c>
      <c r="I252">
        <v>40.5</v>
      </c>
      <c r="J252" t="s">
        <v>18</v>
      </c>
      <c r="K252">
        <v>3.3</v>
      </c>
      <c r="L252">
        <v>39.1</v>
      </c>
      <c r="M252" t="s">
        <v>18</v>
      </c>
      <c r="N252">
        <f>AVERAGEIF(Raw_Data!A:A, Raw_Data!A252, Raw_Data!D:D)</f>
        <v>6.5849999999999991</v>
      </c>
      <c r="O252" t="str">
        <f t="shared" si="3"/>
        <v>Medium Solar</v>
      </c>
    </row>
    <row r="253" spans="1:15">
      <c r="A253" t="s">
        <v>25</v>
      </c>
      <c r="B253">
        <v>20.399999999999999</v>
      </c>
      <c r="C253">
        <v>2551</v>
      </c>
      <c r="D253">
        <v>7.1</v>
      </c>
      <c r="E253" t="s">
        <v>20</v>
      </c>
      <c r="F253">
        <v>27</v>
      </c>
      <c r="G253">
        <v>43</v>
      </c>
      <c r="H253">
        <v>8</v>
      </c>
      <c r="I253">
        <v>42.5</v>
      </c>
      <c r="J253" t="s">
        <v>17</v>
      </c>
      <c r="K253">
        <v>6</v>
      </c>
      <c r="L253">
        <v>72.400000000000006</v>
      </c>
      <c r="M253" t="s">
        <v>21</v>
      </c>
      <c r="N253">
        <f>AVERAGEIF(Raw_Data!A:A, Raw_Data!A253, Raw_Data!D:D)</f>
        <v>7.0823529411764703</v>
      </c>
      <c r="O253" t="str">
        <f t="shared" si="3"/>
        <v>Low Solar</v>
      </c>
    </row>
    <row r="254" spans="1:15">
      <c r="A254" t="s">
        <v>34</v>
      </c>
      <c r="B254">
        <v>11.3</v>
      </c>
      <c r="C254">
        <v>3399</v>
      </c>
      <c r="D254">
        <v>6.7</v>
      </c>
      <c r="E254" t="s">
        <v>20</v>
      </c>
      <c r="F254">
        <v>38</v>
      </c>
      <c r="G254">
        <v>93</v>
      </c>
      <c r="H254">
        <v>6</v>
      </c>
      <c r="I254">
        <v>11.5</v>
      </c>
      <c r="J254" t="s">
        <v>17</v>
      </c>
      <c r="K254">
        <v>3.2</v>
      </c>
      <c r="L254">
        <v>37.9</v>
      </c>
      <c r="M254" t="s">
        <v>17</v>
      </c>
      <c r="N254">
        <f>AVERAGEIF(Raw_Data!A:A, Raw_Data!A254, Raw_Data!D:D)</f>
        <v>7.4411764705882346</v>
      </c>
      <c r="O254" t="str">
        <f t="shared" si="3"/>
        <v>High Solar</v>
      </c>
    </row>
    <row r="255" spans="1:15">
      <c r="A255" t="s">
        <v>24</v>
      </c>
      <c r="B255">
        <v>17.2</v>
      </c>
      <c r="C255">
        <v>4552</v>
      </c>
      <c r="D255">
        <v>4.8</v>
      </c>
      <c r="E255" t="s">
        <v>28</v>
      </c>
      <c r="F255">
        <v>25</v>
      </c>
      <c r="G255">
        <v>58</v>
      </c>
      <c r="H255">
        <v>7</v>
      </c>
      <c r="I255">
        <v>35</v>
      </c>
      <c r="J255" t="s">
        <v>18</v>
      </c>
      <c r="K255">
        <v>3.4</v>
      </c>
      <c r="L255">
        <v>41.3</v>
      </c>
      <c r="M255" t="s">
        <v>18</v>
      </c>
      <c r="N255">
        <f>AVERAGEIF(Raw_Data!A:A, Raw_Data!A255, Raw_Data!D:D)</f>
        <v>7.0352941176470587</v>
      </c>
      <c r="O255" t="str">
        <f t="shared" si="3"/>
        <v>Medium Solar</v>
      </c>
    </row>
    <row r="256" spans="1:15">
      <c r="A256" t="s">
        <v>30</v>
      </c>
      <c r="B256">
        <v>21.6</v>
      </c>
      <c r="C256">
        <v>2467</v>
      </c>
      <c r="D256">
        <v>7.7</v>
      </c>
      <c r="E256" t="s">
        <v>16</v>
      </c>
      <c r="F256">
        <v>38</v>
      </c>
      <c r="G256">
        <v>94</v>
      </c>
      <c r="H256">
        <v>9</v>
      </c>
      <c r="I256">
        <v>11</v>
      </c>
      <c r="J256" t="s">
        <v>17</v>
      </c>
      <c r="K256">
        <v>6.9</v>
      </c>
      <c r="L256">
        <v>83.2</v>
      </c>
      <c r="M256" t="s">
        <v>17</v>
      </c>
      <c r="N256">
        <f>AVERAGEIF(Raw_Data!A:A, Raw_Data!A256, Raw_Data!D:D)</f>
        <v>7</v>
      </c>
      <c r="O256" t="str">
        <f t="shared" si="3"/>
        <v>High Solar</v>
      </c>
    </row>
    <row r="257" spans="1:15">
      <c r="A257" t="s">
        <v>26</v>
      </c>
      <c r="B257">
        <v>19.5</v>
      </c>
      <c r="C257">
        <v>3384</v>
      </c>
      <c r="D257">
        <v>9.8000000000000007</v>
      </c>
      <c r="E257" t="s">
        <v>28</v>
      </c>
      <c r="F257">
        <v>45</v>
      </c>
      <c r="G257">
        <v>88</v>
      </c>
      <c r="H257">
        <v>6</v>
      </c>
      <c r="I257">
        <v>15</v>
      </c>
      <c r="J257" t="s">
        <v>17</v>
      </c>
      <c r="K257">
        <v>8</v>
      </c>
      <c r="L257">
        <v>95.6</v>
      </c>
      <c r="M257" t="s">
        <v>17</v>
      </c>
      <c r="N257">
        <f>AVERAGEIF(Raw_Data!A:A, Raw_Data!A257, Raw_Data!D:D)</f>
        <v>6.9771428571428586</v>
      </c>
      <c r="O257" t="str">
        <f t="shared" si="3"/>
        <v>High Solar</v>
      </c>
    </row>
    <row r="258" spans="1:15">
      <c r="A258" t="s">
        <v>36</v>
      </c>
      <c r="B258">
        <v>6.4</v>
      </c>
      <c r="C258">
        <v>1841</v>
      </c>
      <c r="D258">
        <v>8.6999999999999993</v>
      </c>
      <c r="E258" t="s">
        <v>28</v>
      </c>
      <c r="F258">
        <v>31</v>
      </c>
      <c r="G258">
        <v>64</v>
      </c>
      <c r="H258">
        <v>4</v>
      </c>
      <c r="I258">
        <v>30</v>
      </c>
      <c r="J258" t="s">
        <v>17</v>
      </c>
      <c r="K258">
        <v>2.2999999999999998</v>
      </c>
      <c r="L258">
        <v>27.8</v>
      </c>
      <c r="M258" t="s">
        <v>18</v>
      </c>
      <c r="N258">
        <f>AVERAGEIF(Raw_Data!A:A, Raw_Data!A258, Raw_Data!D:D)</f>
        <v>7.5260869565217385</v>
      </c>
      <c r="O258" t="str">
        <f t="shared" ref="O258:O321" si="4">IF(G258&gt;70, "High Solar", IF(G258&lt;50, "Low Solar", "Medium Solar"))</f>
        <v>Medium Solar</v>
      </c>
    </row>
    <row r="259" spans="1:15">
      <c r="A259" t="s">
        <v>22</v>
      </c>
      <c r="B259">
        <v>1.3</v>
      </c>
      <c r="C259">
        <v>324</v>
      </c>
      <c r="D259">
        <v>8.8000000000000007</v>
      </c>
      <c r="E259" t="s">
        <v>23</v>
      </c>
      <c r="F259">
        <v>45</v>
      </c>
      <c r="G259">
        <v>75</v>
      </c>
      <c r="H259">
        <v>4</v>
      </c>
      <c r="I259">
        <v>33.5</v>
      </c>
      <c r="J259" t="s">
        <v>17</v>
      </c>
      <c r="K259">
        <v>0.5</v>
      </c>
      <c r="L259">
        <v>5.7</v>
      </c>
      <c r="M259" t="s">
        <v>18</v>
      </c>
      <c r="N259">
        <f>AVERAGEIF(Raw_Data!A:A, Raw_Data!A259, Raw_Data!D:D)</f>
        <v>7.0051282051282051</v>
      </c>
      <c r="O259" t="str">
        <f t="shared" si="4"/>
        <v>High Solar</v>
      </c>
    </row>
    <row r="260" spans="1:15">
      <c r="A260" t="s">
        <v>15</v>
      </c>
      <c r="B260">
        <v>3</v>
      </c>
      <c r="C260">
        <v>768</v>
      </c>
      <c r="D260">
        <v>6</v>
      </c>
      <c r="E260" t="s">
        <v>20</v>
      </c>
      <c r="F260">
        <v>33</v>
      </c>
      <c r="G260">
        <v>53</v>
      </c>
      <c r="H260">
        <v>5</v>
      </c>
      <c r="I260">
        <v>39.5</v>
      </c>
      <c r="J260" t="s">
        <v>18</v>
      </c>
      <c r="K260">
        <v>0.8</v>
      </c>
      <c r="L260">
        <v>9</v>
      </c>
      <c r="M260" t="s">
        <v>18</v>
      </c>
      <c r="N260">
        <f>AVERAGEIF(Raw_Data!A:A, Raw_Data!A260, Raw_Data!D:D)</f>
        <v>7.1264705882352937</v>
      </c>
      <c r="O260" t="str">
        <f t="shared" si="4"/>
        <v>Medium Solar</v>
      </c>
    </row>
    <row r="261" spans="1:15">
      <c r="A261" t="s">
        <v>36</v>
      </c>
      <c r="B261">
        <v>24.3</v>
      </c>
      <c r="C261">
        <v>3782</v>
      </c>
      <c r="D261">
        <v>9.3000000000000007</v>
      </c>
      <c r="E261" t="s">
        <v>20</v>
      </c>
      <c r="F261">
        <v>35</v>
      </c>
      <c r="G261">
        <v>73</v>
      </c>
      <c r="H261">
        <v>8</v>
      </c>
      <c r="I261">
        <v>23.5</v>
      </c>
      <c r="J261" t="s">
        <v>17</v>
      </c>
      <c r="K261">
        <v>9.4</v>
      </c>
      <c r="L261">
        <v>113</v>
      </c>
      <c r="M261" t="s">
        <v>17</v>
      </c>
      <c r="N261">
        <f>AVERAGEIF(Raw_Data!A:A, Raw_Data!A261, Raw_Data!D:D)</f>
        <v>7.5260869565217385</v>
      </c>
      <c r="O261" t="str">
        <f t="shared" si="4"/>
        <v>High Solar</v>
      </c>
    </row>
    <row r="262" spans="1:15">
      <c r="A262" t="s">
        <v>34</v>
      </c>
      <c r="B262">
        <v>23</v>
      </c>
      <c r="C262">
        <v>3243</v>
      </c>
      <c r="D262">
        <v>9.6999999999999993</v>
      </c>
      <c r="E262" t="s">
        <v>16</v>
      </c>
      <c r="F262">
        <v>38</v>
      </c>
      <c r="G262">
        <v>83</v>
      </c>
      <c r="H262">
        <v>7</v>
      </c>
      <c r="I262">
        <v>24.5</v>
      </c>
      <c r="J262" t="s">
        <v>17</v>
      </c>
      <c r="K262">
        <v>9.3000000000000007</v>
      </c>
      <c r="L262">
        <v>111.6</v>
      </c>
      <c r="M262" t="s">
        <v>17</v>
      </c>
      <c r="N262">
        <f>AVERAGEIF(Raw_Data!A:A, Raw_Data!A262, Raw_Data!D:D)</f>
        <v>7.4411764705882346</v>
      </c>
      <c r="O262" t="str">
        <f t="shared" si="4"/>
        <v>High Solar</v>
      </c>
    </row>
    <row r="263" spans="1:15">
      <c r="A263" t="s">
        <v>15</v>
      </c>
      <c r="B263">
        <v>22.4</v>
      </c>
      <c r="C263">
        <v>2487</v>
      </c>
      <c r="D263">
        <v>4.5</v>
      </c>
      <c r="E263" t="s">
        <v>28</v>
      </c>
      <c r="F263">
        <v>30</v>
      </c>
      <c r="G263">
        <v>40</v>
      </c>
      <c r="H263">
        <v>6</v>
      </c>
      <c r="I263">
        <v>48</v>
      </c>
      <c r="J263" t="s">
        <v>18</v>
      </c>
      <c r="K263">
        <v>4.2</v>
      </c>
      <c r="L263">
        <v>50.4</v>
      </c>
      <c r="M263" t="s">
        <v>21</v>
      </c>
      <c r="N263">
        <f>AVERAGEIF(Raw_Data!A:A, Raw_Data!A263, Raw_Data!D:D)</f>
        <v>7.1264705882352937</v>
      </c>
      <c r="O263" t="str">
        <f t="shared" si="4"/>
        <v>Low Solar</v>
      </c>
    </row>
    <row r="264" spans="1:15">
      <c r="A264" t="s">
        <v>29</v>
      </c>
      <c r="B264">
        <v>20.100000000000001</v>
      </c>
      <c r="C264">
        <v>2623</v>
      </c>
      <c r="D264">
        <v>5.0999999999999996</v>
      </c>
      <c r="E264" t="s">
        <v>20</v>
      </c>
      <c r="F264">
        <v>34</v>
      </c>
      <c r="G264">
        <v>74</v>
      </c>
      <c r="H264">
        <v>9</v>
      </c>
      <c r="I264">
        <v>18</v>
      </c>
      <c r="J264" t="s">
        <v>18</v>
      </c>
      <c r="K264">
        <v>4.3</v>
      </c>
      <c r="L264">
        <v>51.3</v>
      </c>
      <c r="M264" t="s">
        <v>17</v>
      </c>
      <c r="N264">
        <f>AVERAGEIF(Raw_Data!A:A, Raw_Data!A264, Raw_Data!D:D)</f>
        <v>7.0571428571428561</v>
      </c>
      <c r="O264" t="str">
        <f t="shared" si="4"/>
        <v>High Solar</v>
      </c>
    </row>
    <row r="265" spans="1:15">
      <c r="A265" t="s">
        <v>15</v>
      </c>
      <c r="B265">
        <v>7.5</v>
      </c>
      <c r="C265">
        <v>1772</v>
      </c>
      <c r="D265">
        <v>6.6</v>
      </c>
      <c r="E265" t="s">
        <v>20</v>
      </c>
      <c r="F265">
        <v>37</v>
      </c>
      <c r="G265">
        <v>87</v>
      </c>
      <c r="H265">
        <v>6</v>
      </c>
      <c r="I265">
        <v>18.5</v>
      </c>
      <c r="J265" t="s">
        <v>17</v>
      </c>
      <c r="K265">
        <v>2.1</v>
      </c>
      <c r="L265">
        <v>24.8</v>
      </c>
      <c r="M265" t="s">
        <v>17</v>
      </c>
      <c r="N265">
        <f>AVERAGEIF(Raw_Data!A:A, Raw_Data!A265, Raw_Data!D:D)</f>
        <v>7.1264705882352937</v>
      </c>
      <c r="O265" t="str">
        <f t="shared" si="4"/>
        <v>High Solar</v>
      </c>
    </row>
    <row r="266" spans="1:15">
      <c r="A266" t="s">
        <v>37</v>
      </c>
      <c r="B266">
        <v>4</v>
      </c>
      <c r="C266">
        <v>324</v>
      </c>
      <c r="D266">
        <v>8.3000000000000007</v>
      </c>
      <c r="E266" t="s">
        <v>16</v>
      </c>
      <c r="F266">
        <v>35</v>
      </c>
      <c r="G266">
        <v>57</v>
      </c>
      <c r="H266">
        <v>3</v>
      </c>
      <c r="I266">
        <v>42.5</v>
      </c>
      <c r="J266" t="s">
        <v>17</v>
      </c>
      <c r="K266">
        <v>1.4</v>
      </c>
      <c r="L266">
        <v>16.600000000000001</v>
      </c>
      <c r="M266" t="s">
        <v>18</v>
      </c>
      <c r="N266">
        <f>AVERAGEIF(Raw_Data!A:A, Raw_Data!A266, Raw_Data!D:D)</f>
        <v>6.7384615384615376</v>
      </c>
      <c r="O266" t="str">
        <f t="shared" si="4"/>
        <v>Medium Solar</v>
      </c>
    </row>
    <row r="267" spans="1:15">
      <c r="A267" t="s">
        <v>37</v>
      </c>
      <c r="B267">
        <v>6.3</v>
      </c>
      <c r="C267">
        <v>1040</v>
      </c>
      <c r="D267">
        <v>6.2</v>
      </c>
      <c r="E267" t="s">
        <v>16</v>
      </c>
      <c r="F267">
        <v>28</v>
      </c>
      <c r="G267">
        <v>58</v>
      </c>
      <c r="H267">
        <v>4</v>
      </c>
      <c r="I267">
        <v>40</v>
      </c>
      <c r="J267" t="s">
        <v>17</v>
      </c>
      <c r="K267">
        <v>1.6</v>
      </c>
      <c r="L267">
        <v>19.5</v>
      </c>
      <c r="M267" t="s">
        <v>18</v>
      </c>
      <c r="N267">
        <f>AVERAGEIF(Raw_Data!A:A, Raw_Data!A267, Raw_Data!D:D)</f>
        <v>6.7384615384615376</v>
      </c>
      <c r="O267" t="str">
        <f t="shared" si="4"/>
        <v>Medium Solar</v>
      </c>
    </row>
    <row r="268" spans="1:15">
      <c r="A268" t="s">
        <v>19</v>
      </c>
      <c r="B268">
        <v>21.7</v>
      </c>
      <c r="C268">
        <v>3727</v>
      </c>
      <c r="D268">
        <v>7</v>
      </c>
      <c r="E268" t="s">
        <v>16</v>
      </c>
      <c r="F268">
        <v>33</v>
      </c>
      <c r="G268">
        <v>74</v>
      </c>
      <c r="H268">
        <v>8</v>
      </c>
      <c r="I268">
        <v>25</v>
      </c>
      <c r="J268" t="s">
        <v>17</v>
      </c>
      <c r="K268">
        <v>6.3</v>
      </c>
      <c r="L268">
        <v>76</v>
      </c>
      <c r="M268" t="s">
        <v>17</v>
      </c>
      <c r="N268">
        <f>AVERAGEIF(Raw_Data!A:A, Raw_Data!A268, Raw_Data!D:D)</f>
        <v>6.8899999999999988</v>
      </c>
      <c r="O268" t="str">
        <f t="shared" si="4"/>
        <v>High Solar</v>
      </c>
    </row>
    <row r="269" spans="1:15">
      <c r="A269" t="s">
        <v>34</v>
      </c>
      <c r="B269">
        <v>1.5</v>
      </c>
      <c r="C269">
        <v>339</v>
      </c>
      <c r="D269">
        <v>8.4</v>
      </c>
      <c r="E269" t="s">
        <v>20</v>
      </c>
      <c r="F269">
        <v>29</v>
      </c>
      <c r="G269">
        <v>35</v>
      </c>
      <c r="H269">
        <v>4</v>
      </c>
      <c r="I269">
        <v>44.5</v>
      </c>
      <c r="J269" t="s">
        <v>17</v>
      </c>
      <c r="K269">
        <v>0.5</v>
      </c>
      <c r="L269">
        <v>6.3</v>
      </c>
      <c r="M269" t="s">
        <v>21</v>
      </c>
      <c r="N269">
        <f>AVERAGEIF(Raw_Data!A:A, Raw_Data!A269, Raw_Data!D:D)</f>
        <v>7.4411764705882346</v>
      </c>
      <c r="O269" t="str">
        <f t="shared" si="4"/>
        <v>Low Solar</v>
      </c>
    </row>
    <row r="270" spans="1:15">
      <c r="A270" t="s">
        <v>22</v>
      </c>
      <c r="B270">
        <v>22.8</v>
      </c>
      <c r="C270">
        <v>3345</v>
      </c>
      <c r="D270">
        <v>6.4</v>
      </c>
      <c r="E270" t="s">
        <v>20</v>
      </c>
      <c r="F270">
        <v>29</v>
      </c>
      <c r="G270">
        <v>42</v>
      </c>
      <c r="H270">
        <v>6</v>
      </c>
      <c r="I270">
        <v>47</v>
      </c>
      <c r="J270" t="s">
        <v>17</v>
      </c>
      <c r="K270">
        <v>6.1</v>
      </c>
      <c r="L270">
        <v>73</v>
      </c>
      <c r="M270" t="s">
        <v>21</v>
      </c>
      <c r="N270">
        <f>AVERAGEIF(Raw_Data!A:A, Raw_Data!A270, Raw_Data!D:D)</f>
        <v>7.0051282051282051</v>
      </c>
      <c r="O270" t="str">
        <f t="shared" si="4"/>
        <v>Low Solar</v>
      </c>
    </row>
    <row r="271" spans="1:15">
      <c r="A271" t="s">
        <v>25</v>
      </c>
      <c r="B271">
        <v>12.5</v>
      </c>
      <c r="C271">
        <v>3162</v>
      </c>
      <c r="D271">
        <v>7</v>
      </c>
      <c r="E271" t="s">
        <v>20</v>
      </c>
      <c r="F271">
        <v>40</v>
      </c>
      <c r="G271">
        <v>72</v>
      </c>
      <c r="H271">
        <v>6</v>
      </c>
      <c r="I271">
        <v>32</v>
      </c>
      <c r="J271" t="s">
        <v>17</v>
      </c>
      <c r="K271">
        <v>3.6</v>
      </c>
      <c r="L271">
        <v>43.8</v>
      </c>
      <c r="M271" t="s">
        <v>17</v>
      </c>
      <c r="N271">
        <f>AVERAGEIF(Raw_Data!A:A, Raw_Data!A271, Raw_Data!D:D)</f>
        <v>7.0823529411764703</v>
      </c>
      <c r="O271" t="str">
        <f t="shared" si="4"/>
        <v>High Solar</v>
      </c>
    </row>
    <row r="272" spans="1:15">
      <c r="A272" t="s">
        <v>33</v>
      </c>
      <c r="B272">
        <v>11.3</v>
      </c>
      <c r="C272">
        <v>3721</v>
      </c>
      <c r="D272">
        <v>6.6</v>
      </c>
      <c r="E272" t="s">
        <v>20</v>
      </c>
      <c r="F272">
        <v>37</v>
      </c>
      <c r="G272">
        <v>90</v>
      </c>
      <c r="H272">
        <v>9</v>
      </c>
      <c r="I272">
        <v>8</v>
      </c>
      <c r="J272" t="s">
        <v>17</v>
      </c>
      <c r="K272">
        <v>3.1</v>
      </c>
      <c r="L272">
        <v>37.299999999999997</v>
      </c>
      <c r="M272" t="s">
        <v>17</v>
      </c>
      <c r="N272">
        <f>AVERAGEIF(Raw_Data!A:A, Raw_Data!A272, Raw_Data!D:D)</f>
        <v>7.1129032258064528</v>
      </c>
      <c r="O272" t="str">
        <f t="shared" si="4"/>
        <v>High Solar</v>
      </c>
    </row>
    <row r="273" spans="1:15">
      <c r="A273" t="s">
        <v>26</v>
      </c>
      <c r="B273">
        <v>17.399999999999999</v>
      </c>
      <c r="C273">
        <v>2529</v>
      </c>
      <c r="D273">
        <v>5.4</v>
      </c>
      <c r="E273" t="s">
        <v>20</v>
      </c>
      <c r="F273">
        <v>29</v>
      </c>
      <c r="G273">
        <v>62</v>
      </c>
      <c r="H273">
        <v>9</v>
      </c>
      <c r="I273">
        <v>30</v>
      </c>
      <c r="J273" t="s">
        <v>18</v>
      </c>
      <c r="K273">
        <v>3.9</v>
      </c>
      <c r="L273">
        <v>47</v>
      </c>
      <c r="M273" t="s">
        <v>18</v>
      </c>
      <c r="N273">
        <f>AVERAGEIF(Raw_Data!A:A, Raw_Data!A273, Raw_Data!D:D)</f>
        <v>6.9771428571428586</v>
      </c>
      <c r="O273" t="str">
        <f t="shared" si="4"/>
        <v>Medium Solar</v>
      </c>
    </row>
    <row r="274" spans="1:15">
      <c r="A274" t="s">
        <v>19</v>
      </c>
      <c r="B274">
        <v>7.2</v>
      </c>
      <c r="C274">
        <v>808</v>
      </c>
      <c r="D274">
        <v>8.1</v>
      </c>
      <c r="E274" t="s">
        <v>28</v>
      </c>
      <c r="F274">
        <v>27</v>
      </c>
      <c r="G274">
        <v>42</v>
      </c>
      <c r="H274">
        <v>7</v>
      </c>
      <c r="I274">
        <v>37</v>
      </c>
      <c r="J274" t="s">
        <v>17</v>
      </c>
      <c r="K274">
        <v>2.4</v>
      </c>
      <c r="L274">
        <v>29.2</v>
      </c>
      <c r="M274" t="s">
        <v>21</v>
      </c>
      <c r="N274">
        <f>AVERAGEIF(Raw_Data!A:A, Raw_Data!A274, Raw_Data!D:D)</f>
        <v>6.8899999999999988</v>
      </c>
      <c r="O274" t="str">
        <f t="shared" si="4"/>
        <v>Low Solar</v>
      </c>
    </row>
    <row r="275" spans="1:15">
      <c r="A275" t="s">
        <v>15</v>
      </c>
      <c r="B275">
        <v>20</v>
      </c>
      <c r="C275">
        <v>4960</v>
      </c>
      <c r="D275">
        <v>7.1</v>
      </c>
      <c r="E275" t="s">
        <v>23</v>
      </c>
      <c r="F275">
        <v>27</v>
      </c>
      <c r="G275">
        <v>61</v>
      </c>
      <c r="H275">
        <v>6</v>
      </c>
      <c r="I275">
        <v>28.5</v>
      </c>
      <c r="J275" t="s">
        <v>17</v>
      </c>
      <c r="K275">
        <v>5.9</v>
      </c>
      <c r="L275">
        <v>71</v>
      </c>
      <c r="M275" t="s">
        <v>18</v>
      </c>
      <c r="N275">
        <f>AVERAGEIF(Raw_Data!A:A, Raw_Data!A275, Raw_Data!D:D)</f>
        <v>7.1264705882352937</v>
      </c>
      <c r="O275" t="str">
        <f t="shared" si="4"/>
        <v>Medium Solar</v>
      </c>
    </row>
    <row r="276" spans="1:15">
      <c r="A276" t="s">
        <v>37</v>
      </c>
      <c r="B276">
        <v>21.1</v>
      </c>
      <c r="C276">
        <v>4756</v>
      </c>
      <c r="D276">
        <v>7.7</v>
      </c>
      <c r="E276" t="s">
        <v>20</v>
      </c>
      <c r="F276">
        <v>31</v>
      </c>
      <c r="G276">
        <v>67</v>
      </c>
      <c r="H276">
        <v>9</v>
      </c>
      <c r="I276">
        <v>18.5</v>
      </c>
      <c r="J276" t="s">
        <v>17</v>
      </c>
      <c r="K276">
        <v>6.8</v>
      </c>
      <c r="L276">
        <v>81.2</v>
      </c>
      <c r="M276" t="s">
        <v>18</v>
      </c>
      <c r="N276">
        <f>AVERAGEIF(Raw_Data!A:A, Raw_Data!A276, Raw_Data!D:D)</f>
        <v>6.7384615384615376</v>
      </c>
      <c r="O276" t="str">
        <f t="shared" si="4"/>
        <v>Medium Solar</v>
      </c>
    </row>
    <row r="277" spans="1:15">
      <c r="A277" t="s">
        <v>19</v>
      </c>
      <c r="B277">
        <v>13</v>
      </c>
      <c r="C277">
        <v>2829</v>
      </c>
      <c r="D277">
        <v>8.6</v>
      </c>
      <c r="E277" t="s">
        <v>28</v>
      </c>
      <c r="F277">
        <v>37</v>
      </c>
      <c r="G277">
        <v>78</v>
      </c>
      <c r="H277">
        <v>6</v>
      </c>
      <c r="I277">
        <v>20</v>
      </c>
      <c r="J277" t="s">
        <v>17</v>
      </c>
      <c r="K277">
        <v>4.7</v>
      </c>
      <c r="L277">
        <v>55.9</v>
      </c>
      <c r="M277" t="s">
        <v>17</v>
      </c>
      <c r="N277">
        <f>AVERAGEIF(Raw_Data!A:A, Raw_Data!A277, Raw_Data!D:D)</f>
        <v>6.8899999999999988</v>
      </c>
      <c r="O277" t="str">
        <f t="shared" si="4"/>
        <v>High Solar</v>
      </c>
    </row>
    <row r="278" spans="1:15">
      <c r="A278" t="s">
        <v>29</v>
      </c>
      <c r="B278">
        <v>8.4</v>
      </c>
      <c r="C278">
        <v>839</v>
      </c>
      <c r="D278">
        <v>5.7</v>
      </c>
      <c r="E278" t="s">
        <v>16</v>
      </c>
      <c r="F278">
        <v>31</v>
      </c>
      <c r="G278">
        <v>61</v>
      </c>
      <c r="H278">
        <v>4</v>
      </c>
      <c r="I278">
        <v>40.5</v>
      </c>
      <c r="J278" t="s">
        <v>18</v>
      </c>
      <c r="K278">
        <v>2</v>
      </c>
      <c r="L278">
        <v>23.9</v>
      </c>
      <c r="M278" t="s">
        <v>18</v>
      </c>
      <c r="N278">
        <f>AVERAGEIF(Raw_Data!A:A, Raw_Data!A278, Raw_Data!D:D)</f>
        <v>7.0571428571428561</v>
      </c>
      <c r="O278" t="str">
        <f t="shared" si="4"/>
        <v>Medium Solar</v>
      </c>
    </row>
    <row r="279" spans="1:15">
      <c r="A279" t="s">
        <v>35</v>
      </c>
      <c r="B279">
        <v>6</v>
      </c>
      <c r="C279">
        <v>1510</v>
      </c>
      <c r="D279">
        <v>5.8</v>
      </c>
      <c r="E279" t="s">
        <v>28</v>
      </c>
      <c r="F279">
        <v>32</v>
      </c>
      <c r="G279">
        <v>62</v>
      </c>
      <c r="H279">
        <v>6</v>
      </c>
      <c r="I279">
        <v>36</v>
      </c>
      <c r="J279" t="s">
        <v>18</v>
      </c>
      <c r="K279">
        <v>1.5</v>
      </c>
      <c r="L279">
        <v>17.399999999999999</v>
      </c>
      <c r="M279" t="s">
        <v>18</v>
      </c>
      <c r="N279">
        <f>AVERAGEIF(Raw_Data!A:A, Raw_Data!A279, Raw_Data!D:D)</f>
        <v>7.4206896551724144</v>
      </c>
      <c r="O279" t="str">
        <f t="shared" si="4"/>
        <v>Medium Solar</v>
      </c>
    </row>
    <row r="280" spans="1:15">
      <c r="A280" t="s">
        <v>31</v>
      </c>
      <c r="B280">
        <v>23.4</v>
      </c>
      <c r="C280">
        <v>4950</v>
      </c>
      <c r="D280">
        <v>8.3000000000000007</v>
      </c>
      <c r="E280" t="s">
        <v>16</v>
      </c>
      <c r="F280">
        <v>42</v>
      </c>
      <c r="G280">
        <v>90</v>
      </c>
      <c r="H280">
        <v>8</v>
      </c>
      <c r="I280">
        <v>14</v>
      </c>
      <c r="J280" t="s">
        <v>17</v>
      </c>
      <c r="K280">
        <v>8.1</v>
      </c>
      <c r="L280">
        <v>97.1</v>
      </c>
      <c r="M280" t="s">
        <v>17</v>
      </c>
      <c r="N280">
        <f>AVERAGEIF(Raw_Data!A:A, Raw_Data!A280, Raw_Data!D:D)</f>
        <v>6.5849999999999991</v>
      </c>
      <c r="O280" t="str">
        <f t="shared" si="4"/>
        <v>High Solar</v>
      </c>
    </row>
    <row r="281" spans="1:15">
      <c r="A281" t="s">
        <v>27</v>
      </c>
      <c r="B281">
        <v>24.3</v>
      </c>
      <c r="C281">
        <v>3674</v>
      </c>
      <c r="D281">
        <v>8.1999999999999993</v>
      </c>
      <c r="E281" t="s">
        <v>20</v>
      </c>
      <c r="F281">
        <v>28</v>
      </c>
      <c r="G281">
        <v>39</v>
      </c>
      <c r="H281">
        <v>9</v>
      </c>
      <c r="I281">
        <v>41.5</v>
      </c>
      <c r="J281" t="s">
        <v>17</v>
      </c>
      <c r="K281">
        <v>8.3000000000000007</v>
      </c>
      <c r="L281">
        <v>99.6</v>
      </c>
      <c r="M281" t="s">
        <v>21</v>
      </c>
      <c r="N281">
        <f>AVERAGEIF(Raw_Data!A:A, Raw_Data!A281, Raw_Data!D:D)</f>
        <v>6.8347826086956527</v>
      </c>
      <c r="O281" t="str">
        <f t="shared" si="4"/>
        <v>Low Solar</v>
      </c>
    </row>
    <row r="282" spans="1:15">
      <c r="A282" t="s">
        <v>27</v>
      </c>
      <c r="B282">
        <v>11</v>
      </c>
      <c r="C282">
        <v>3438</v>
      </c>
      <c r="D282">
        <v>7</v>
      </c>
      <c r="E282" t="s">
        <v>23</v>
      </c>
      <c r="F282">
        <v>33</v>
      </c>
      <c r="G282">
        <v>51</v>
      </c>
      <c r="H282">
        <v>8</v>
      </c>
      <c r="I282">
        <v>37.5</v>
      </c>
      <c r="J282" t="s">
        <v>17</v>
      </c>
      <c r="K282">
        <v>3.2</v>
      </c>
      <c r="L282">
        <v>38.5</v>
      </c>
      <c r="M282" t="s">
        <v>18</v>
      </c>
      <c r="N282">
        <f>AVERAGEIF(Raw_Data!A:A, Raw_Data!A282, Raw_Data!D:D)</f>
        <v>6.8347826086956527</v>
      </c>
      <c r="O282" t="str">
        <f t="shared" si="4"/>
        <v>Medium Solar</v>
      </c>
    </row>
    <row r="283" spans="1:15">
      <c r="A283" t="s">
        <v>36</v>
      </c>
      <c r="B283">
        <v>24.6</v>
      </c>
      <c r="C283">
        <v>2777</v>
      </c>
      <c r="D283">
        <v>5.8</v>
      </c>
      <c r="E283" t="s">
        <v>20</v>
      </c>
      <c r="F283">
        <v>32</v>
      </c>
      <c r="G283">
        <v>52</v>
      </c>
      <c r="H283">
        <v>6</v>
      </c>
      <c r="I283">
        <v>36</v>
      </c>
      <c r="J283" t="s">
        <v>18</v>
      </c>
      <c r="K283">
        <v>5.9</v>
      </c>
      <c r="L283">
        <v>71.3</v>
      </c>
      <c r="M283" t="s">
        <v>18</v>
      </c>
      <c r="N283">
        <f>AVERAGEIF(Raw_Data!A:A, Raw_Data!A283, Raw_Data!D:D)</f>
        <v>7.5260869565217385</v>
      </c>
      <c r="O283" t="str">
        <f t="shared" si="4"/>
        <v>Medium Solar</v>
      </c>
    </row>
    <row r="284" spans="1:15">
      <c r="A284" t="s">
        <v>15</v>
      </c>
      <c r="B284">
        <v>22.9</v>
      </c>
      <c r="C284">
        <v>3205</v>
      </c>
      <c r="D284">
        <v>7.1</v>
      </c>
      <c r="E284" t="s">
        <v>20</v>
      </c>
      <c r="F284">
        <v>34</v>
      </c>
      <c r="G284">
        <v>78</v>
      </c>
      <c r="H284">
        <v>6</v>
      </c>
      <c r="I284">
        <v>25</v>
      </c>
      <c r="J284" t="s">
        <v>17</v>
      </c>
      <c r="K284">
        <v>6.8</v>
      </c>
      <c r="L284">
        <v>81.3</v>
      </c>
      <c r="M284" t="s">
        <v>17</v>
      </c>
      <c r="N284">
        <f>AVERAGEIF(Raw_Data!A:A, Raw_Data!A284, Raw_Data!D:D)</f>
        <v>7.1264705882352937</v>
      </c>
      <c r="O284" t="str">
        <f t="shared" si="4"/>
        <v>High Solar</v>
      </c>
    </row>
    <row r="285" spans="1:15">
      <c r="A285" t="s">
        <v>35</v>
      </c>
      <c r="B285">
        <v>7.3</v>
      </c>
      <c r="C285">
        <v>1708</v>
      </c>
      <c r="D285">
        <v>8.1999999999999993</v>
      </c>
      <c r="E285" t="s">
        <v>16</v>
      </c>
      <c r="F285">
        <v>28</v>
      </c>
      <c r="G285">
        <v>33</v>
      </c>
      <c r="H285">
        <v>5</v>
      </c>
      <c r="I285">
        <v>45.5</v>
      </c>
      <c r="J285" t="s">
        <v>17</v>
      </c>
      <c r="K285">
        <v>2.5</v>
      </c>
      <c r="L285">
        <v>29.9</v>
      </c>
      <c r="M285" t="s">
        <v>21</v>
      </c>
      <c r="N285">
        <f>AVERAGEIF(Raw_Data!A:A, Raw_Data!A285, Raw_Data!D:D)</f>
        <v>7.4206896551724144</v>
      </c>
      <c r="O285" t="str">
        <f t="shared" si="4"/>
        <v>Low Solar</v>
      </c>
    </row>
    <row r="286" spans="1:15">
      <c r="A286" t="s">
        <v>22</v>
      </c>
      <c r="B286">
        <v>3.2</v>
      </c>
      <c r="C286">
        <v>486</v>
      </c>
      <c r="D286">
        <v>6.1</v>
      </c>
      <c r="E286" t="s">
        <v>16</v>
      </c>
      <c r="F286">
        <v>34</v>
      </c>
      <c r="G286">
        <v>79</v>
      </c>
      <c r="H286">
        <v>4</v>
      </c>
      <c r="I286">
        <v>23.5</v>
      </c>
      <c r="J286" t="s">
        <v>17</v>
      </c>
      <c r="K286">
        <v>0.8</v>
      </c>
      <c r="L286">
        <v>9.8000000000000007</v>
      </c>
      <c r="M286" t="s">
        <v>18</v>
      </c>
      <c r="N286">
        <f>AVERAGEIF(Raw_Data!A:A, Raw_Data!A286, Raw_Data!D:D)</f>
        <v>7.0051282051282051</v>
      </c>
      <c r="O286" t="str">
        <f t="shared" si="4"/>
        <v>High Solar</v>
      </c>
    </row>
    <row r="287" spans="1:15">
      <c r="A287" t="s">
        <v>15</v>
      </c>
      <c r="B287">
        <v>8.9</v>
      </c>
      <c r="C287">
        <v>1754</v>
      </c>
      <c r="D287">
        <v>7.3</v>
      </c>
      <c r="E287" t="s">
        <v>20</v>
      </c>
      <c r="F287">
        <v>35</v>
      </c>
      <c r="G287">
        <v>80</v>
      </c>
      <c r="H287">
        <v>4</v>
      </c>
      <c r="I287">
        <v>29</v>
      </c>
      <c r="J287" t="s">
        <v>17</v>
      </c>
      <c r="K287">
        <v>2.7</v>
      </c>
      <c r="L287">
        <v>32.5</v>
      </c>
      <c r="M287" t="s">
        <v>18</v>
      </c>
      <c r="N287">
        <f>AVERAGEIF(Raw_Data!A:A, Raw_Data!A287, Raw_Data!D:D)</f>
        <v>7.1264705882352937</v>
      </c>
      <c r="O287" t="str">
        <f t="shared" si="4"/>
        <v>High Solar</v>
      </c>
    </row>
    <row r="288" spans="1:15">
      <c r="A288" t="s">
        <v>19</v>
      </c>
      <c r="B288">
        <v>7.6</v>
      </c>
      <c r="C288">
        <v>1845</v>
      </c>
      <c r="D288">
        <v>4.8</v>
      </c>
      <c r="E288" t="s">
        <v>16</v>
      </c>
      <c r="F288">
        <v>25</v>
      </c>
      <c r="G288">
        <v>50</v>
      </c>
      <c r="H288">
        <v>7</v>
      </c>
      <c r="I288">
        <v>37</v>
      </c>
      <c r="J288" t="s">
        <v>18</v>
      </c>
      <c r="K288">
        <v>1.5</v>
      </c>
      <c r="L288">
        <v>18.2</v>
      </c>
      <c r="M288" t="s">
        <v>21</v>
      </c>
      <c r="N288">
        <f>AVERAGEIF(Raw_Data!A:A, Raw_Data!A288, Raw_Data!D:D)</f>
        <v>6.8899999999999988</v>
      </c>
      <c r="O288" t="str">
        <f t="shared" si="4"/>
        <v>Medium Solar</v>
      </c>
    </row>
    <row r="289" spans="1:15">
      <c r="A289" t="s">
        <v>33</v>
      </c>
      <c r="B289">
        <v>4.5</v>
      </c>
      <c r="C289">
        <v>666</v>
      </c>
      <c r="D289">
        <v>7.4</v>
      </c>
      <c r="E289" t="s">
        <v>20</v>
      </c>
      <c r="F289">
        <v>29</v>
      </c>
      <c r="G289">
        <v>61</v>
      </c>
      <c r="H289">
        <v>2</v>
      </c>
      <c r="I289">
        <v>36.5</v>
      </c>
      <c r="J289" t="s">
        <v>17</v>
      </c>
      <c r="K289">
        <v>1.4</v>
      </c>
      <c r="L289">
        <v>16.7</v>
      </c>
      <c r="M289" t="s">
        <v>18</v>
      </c>
      <c r="N289">
        <f>AVERAGEIF(Raw_Data!A:A, Raw_Data!A289, Raw_Data!D:D)</f>
        <v>7.1129032258064528</v>
      </c>
      <c r="O289" t="str">
        <f t="shared" si="4"/>
        <v>Medium Solar</v>
      </c>
    </row>
    <row r="290" spans="1:15">
      <c r="A290" t="s">
        <v>22</v>
      </c>
      <c r="B290">
        <v>24</v>
      </c>
      <c r="C290">
        <v>2839</v>
      </c>
      <c r="D290">
        <v>6.7</v>
      </c>
      <c r="E290" t="s">
        <v>20</v>
      </c>
      <c r="F290">
        <v>38</v>
      </c>
      <c r="G290">
        <v>74</v>
      </c>
      <c r="H290">
        <v>9</v>
      </c>
      <c r="I290">
        <v>25</v>
      </c>
      <c r="J290" t="s">
        <v>17</v>
      </c>
      <c r="K290">
        <v>6.7</v>
      </c>
      <c r="L290">
        <v>80.400000000000006</v>
      </c>
      <c r="M290" t="s">
        <v>17</v>
      </c>
      <c r="N290">
        <f>AVERAGEIF(Raw_Data!A:A, Raw_Data!A290, Raw_Data!D:D)</f>
        <v>7.0051282051282051</v>
      </c>
      <c r="O290" t="str">
        <f t="shared" si="4"/>
        <v>High Solar</v>
      </c>
    </row>
    <row r="291" spans="1:15">
      <c r="A291" t="s">
        <v>34</v>
      </c>
      <c r="B291">
        <v>4.3</v>
      </c>
      <c r="C291">
        <v>740</v>
      </c>
      <c r="D291">
        <v>5.0999999999999996</v>
      </c>
      <c r="E291" t="s">
        <v>20</v>
      </c>
      <c r="F291">
        <v>27</v>
      </c>
      <c r="G291">
        <v>49</v>
      </c>
      <c r="H291">
        <v>5</v>
      </c>
      <c r="I291">
        <v>37.5</v>
      </c>
      <c r="J291" t="s">
        <v>18</v>
      </c>
      <c r="K291">
        <v>0.9</v>
      </c>
      <c r="L291">
        <v>11</v>
      </c>
      <c r="M291" t="s">
        <v>21</v>
      </c>
      <c r="N291">
        <f>AVERAGEIF(Raw_Data!A:A, Raw_Data!A291, Raw_Data!D:D)</f>
        <v>7.4411764705882346</v>
      </c>
      <c r="O291" t="str">
        <f t="shared" si="4"/>
        <v>Low Solar</v>
      </c>
    </row>
    <row r="292" spans="1:15">
      <c r="A292" t="s">
        <v>25</v>
      </c>
      <c r="B292">
        <v>18.5</v>
      </c>
      <c r="C292">
        <v>2064</v>
      </c>
      <c r="D292">
        <v>9.8000000000000007</v>
      </c>
      <c r="E292" t="s">
        <v>20</v>
      </c>
      <c r="F292">
        <v>45</v>
      </c>
      <c r="G292">
        <v>88</v>
      </c>
      <c r="H292">
        <v>8</v>
      </c>
      <c r="I292">
        <v>13</v>
      </c>
      <c r="J292" t="s">
        <v>17</v>
      </c>
      <c r="K292">
        <v>7.6</v>
      </c>
      <c r="L292">
        <v>90.7</v>
      </c>
      <c r="M292" t="s">
        <v>17</v>
      </c>
      <c r="N292">
        <f>AVERAGEIF(Raw_Data!A:A, Raw_Data!A292, Raw_Data!D:D)</f>
        <v>7.0823529411764703</v>
      </c>
      <c r="O292" t="str">
        <f t="shared" si="4"/>
        <v>High Solar</v>
      </c>
    </row>
    <row r="293" spans="1:15">
      <c r="A293" t="s">
        <v>27</v>
      </c>
      <c r="B293">
        <v>9.5</v>
      </c>
      <c r="C293">
        <v>1865</v>
      </c>
      <c r="D293">
        <v>6.7</v>
      </c>
      <c r="E293" t="s">
        <v>16</v>
      </c>
      <c r="F293">
        <v>38</v>
      </c>
      <c r="G293">
        <v>91</v>
      </c>
      <c r="H293">
        <v>5</v>
      </c>
      <c r="I293">
        <v>19.5</v>
      </c>
      <c r="J293" t="s">
        <v>17</v>
      </c>
      <c r="K293">
        <v>2.7</v>
      </c>
      <c r="L293">
        <v>31.8</v>
      </c>
      <c r="M293" t="s">
        <v>18</v>
      </c>
      <c r="N293">
        <f>AVERAGEIF(Raw_Data!A:A, Raw_Data!A293, Raw_Data!D:D)</f>
        <v>6.8347826086956527</v>
      </c>
      <c r="O293" t="str">
        <f t="shared" si="4"/>
        <v>High Solar</v>
      </c>
    </row>
    <row r="294" spans="1:15">
      <c r="A294" t="s">
        <v>15</v>
      </c>
      <c r="B294">
        <v>24.3</v>
      </c>
      <c r="C294">
        <v>4672</v>
      </c>
      <c r="D294">
        <v>7.4</v>
      </c>
      <c r="E294" t="s">
        <v>23</v>
      </c>
      <c r="F294">
        <v>29</v>
      </c>
      <c r="G294">
        <v>30</v>
      </c>
      <c r="H294">
        <v>6</v>
      </c>
      <c r="I294">
        <v>43</v>
      </c>
      <c r="J294" t="s">
        <v>17</v>
      </c>
      <c r="K294">
        <v>7.5</v>
      </c>
      <c r="L294">
        <v>89.9</v>
      </c>
      <c r="M294" t="s">
        <v>21</v>
      </c>
      <c r="N294">
        <f>AVERAGEIF(Raw_Data!A:A, Raw_Data!A294, Raw_Data!D:D)</f>
        <v>7.1264705882352937</v>
      </c>
      <c r="O294" t="str">
        <f t="shared" si="4"/>
        <v>Low Solar</v>
      </c>
    </row>
    <row r="295" spans="1:15">
      <c r="A295" t="s">
        <v>33</v>
      </c>
      <c r="B295">
        <v>24.7</v>
      </c>
      <c r="C295">
        <v>4097</v>
      </c>
      <c r="D295">
        <v>5.7</v>
      </c>
      <c r="E295" t="s">
        <v>20</v>
      </c>
      <c r="F295">
        <v>31</v>
      </c>
      <c r="G295">
        <v>62</v>
      </c>
      <c r="H295">
        <v>6</v>
      </c>
      <c r="I295">
        <v>33</v>
      </c>
      <c r="J295" t="s">
        <v>18</v>
      </c>
      <c r="K295">
        <v>5.9</v>
      </c>
      <c r="L295">
        <v>70.400000000000006</v>
      </c>
      <c r="M295" t="s">
        <v>18</v>
      </c>
      <c r="N295">
        <f>AVERAGEIF(Raw_Data!A:A, Raw_Data!A295, Raw_Data!D:D)</f>
        <v>7.1129032258064528</v>
      </c>
      <c r="O295" t="str">
        <f t="shared" si="4"/>
        <v>Medium Solar</v>
      </c>
    </row>
    <row r="296" spans="1:15">
      <c r="A296" t="s">
        <v>25</v>
      </c>
      <c r="B296">
        <v>13.2</v>
      </c>
      <c r="C296">
        <v>3188</v>
      </c>
      <c r="D296">
        <v>6.3</v>
      </c>
      <c r="E296" t="s">
        <v>20</v>
      </c>
      <c r="F296">
        <v>42</v>
      </c>
      <c r="G296">
        <v>73</v>
      </c>
      <c r="H296">
        <v>6</v>
      </c>
      <c r="I296">
        <v>24.5</v>
      </c>
      <c r="J296" t="s">
        <v>17</v>
      </c>
      <c r="K296">
        <v>3.5</v>
      </c>
      <c r="L296">
        <v>41.6</v>
      </c>
      <c r="M296" t="s">
        <v>17</v>
      </c>
      <c r="N296">
        <f>AVERAGEIF(Raw_Data!A:A, Raw_Data!A296, Raw_Data!D:D)</f>
        <v>7.0823529411764703</v>
      </c>
      <c r="O296" t="str">
        <f t="shared" si="4"/>
        <v>High Solar</v>
      </c>
    </row>
    <row r="297" spans="1:15">
      <c r="A297" t="s">
        <v>29</v>
      </c>
      <c r="B297">
        <v>19.5</v>
      </c>
      <c r="C297">
        <v>2760</v>
      </c>
      <c r="D297">
        <v>7.3</v>
      </c>
      <c r="E297" t="s">
        <v>23</v>
      </c>
      <c r="F297">
        <v>42</v>
      </c>
      <c r="G297">
        <v>76</v>
      </c>
      <c r="H297">
        <v>6</v>
      </c>
      <c r="I297">
        <v>23</v>
      </c>
      <c r="J297" t="s">
        <v>17</v>
      </c>
      <c r="K297">
        <v>5.9</v>
      </c>
      <c r="L297">
        <v>71.2</v>
      </c>
      <c r="M297" t="s">
        <v>17</v>
      </c>
      <c r="N297">
        <f>AVERAGEIF(Raw_Data!A:A, Raw_Data!A297, Raw_Data!D:D)</f>
        <v>7.0571428571428561</v>
      </c>
      <c r="O297" t="str">
        <f t="shared" si="4"/>
        <v>High Solar</v>
      </c>
    </row>
    <row r="298" spans="1:15">
      <c r="A298" t="s">
        <v>34</v>
      </c>
      <c r="B298">
        <v>19.8</v>
      </c>
      <c r="C298">
        <v>2075</v>
      </c>
      <c r="D298">
        <v>8.1</v>
      </c>
      <c r="E298" t="s">
        <v>23</v>
      </c>
      <c r="F298">
        <v>34</v>
      </c>
      <c r="G298">
        <v>61</v>
      </c>
      <c r="H298">
        <v>9</v>
      </c>
      <c r="I298">
        <v>23.5</v>
      </c>
      <c r="J298" t="s">
        <v>17</v>
      </c>
      <c r="K298">
        <v>6.7</v>
      </c>
      <c r="L298">
        <v>80.2</v>
      </c>
      <c r="M298" t="s">
        <v>18</v>
      </c>
      <c r="N298">
        <f>AVERAGEIF(Raw_Data!A:A, Raw_Data!A298, Raw_Data!D:D)</f>
        <v>7.4411764705882346</v>
      </c>
      <c r="O298" t="str">
        <f t="shared" si="4"/>
        <v>Medium Solar</v>
      </c>
    </row>
    <row r="299" spans="1:15">
      <c r="A299" t="s">
        <v>24</v>
      </c>
      <c r="B299">
        <v>3.1</v>
      </c>
      <c r="C299">
        <v>609</v>
      </c>
      <c r="D299">
        <v>5.2</v>
      </c>
      <c r="E299" t="s">
        <v>20</v>
      </c>
      <c r="F299">
        <v>28</v>
      </c>
      <c r="G299">
        <v>60</v>
      </c>
      <c r="H299">
        <v>2</v>
      </c>
      <c r="I299">
        <v>37</v>
      </c>
      <c r="J299" t="s">
        <v>18</v>
      </c>
      <c r="K299">
        <v>0.7</v>
      </c>
      <c r="L299">
        <v>8.1</v>
      </c>
      <c r="M299" t="s">
        <v>18</v>
      </c>
      <c r="N299">
        <f>AVERAGEIF(Raw_Data!A:A, Raw_Data!A299, Raw_Data!D:D)</f>
        <v>7.0352941176470587</v>
      </c>
      <c r="O299" t="str">
        <f t="shared" si="4"/>
        <v>Medium Solar</v>
      </c>
    </row>
    <row r="300" spans="1:15">
      <c r="A300" t="s">
        <v>24</v>
      </c>
      <c r="B300">
        <v>3.8</v>
      </c>
      <c r="C300">
        <v>428</v>
      </c>
      <c r="D300">
        <v>4.7</v>
      </c>
      <c r="E300" t="s">
        <v>28</v>
      </c>
      <c r="F300">
        <v>31</v>
      </c>
      <c r="G300">
        <v>72</v>
      </c>
      <c r="H300">
        <v>5</v>
      </c>
      <c r="I300">
        <v>25</v>
      </c>
      <c r="J300" t="s">
        <v>18</v>
      </c>
      <c r="K300">
        <v>0.7</v>
      </c>
      <c r="L300">
        <v>8.9</v>
      </c>
      <c r="M300" t="s">
        <v>18</v>
      </c>
      <c r="N300">
        <f>AVERAGEIF(Raw_Data!A:A, Raw_Data!A300, Raw_Data!D:D)</f>
        <v>7.0352941176470587</v>
      </c>
      <c r="O300" t="str">
        <f t="shared" si="4"/>
        <v>High Solar</v>
      </c>
    </row>
    <row r="301" spans="1:15">
      <c r="A301" t="s">
        <v>36</v>
      </c>
      <c r="B301">
        <v>21.5</v>
      </c>
      <c r="C301">
        <v>2654</v>
      </c>
      <c r="D301">
        <v>6.2</v>
      </c>
      <c r="E301" t="s">
        <v>20</v>
      </c>
      <c r="F301">
        <v>28</v>
      </c>
      <c r="G301">
        <v>47</v>
      </c>
      <c r="H301">
        <v>8</v>
      </c>
      <c r="I301">
        <v>31.5</v>
      </c>
      <c r="J301" t="s">
        <v>17</v>
      </c>
      <c r="K301">
        <v>5.6</v>
      </c>
      <c r="L301">
        <v>66.7</v>
      </c>
      <c r="M301" t="s">
        <v>21</v>
      </c>
      <c r="N301">
        <f>AVERAGEIF(Raw_Data!A:A, Raw_Data!A301, Raw_Data!D:D)</f>
        <v>7.5260869565217385</v>
      </c>
      <c r="O301" t="str">
        <f t="shared" si="4"/>
        <v>Low Solar</v>
      </c>
    </row>
    <row r="302" spans="1:15">
      <c r="A302" t="s">
        <v>34</v>
      </c>
      <c r="B302">
        <v>19.3</v>
      </c>
      <c r="C302">
        <v>4816</v>
      </c>
      <c r="D302">
        <v>9</v>
      </c>
      <c r="E302" t="s">
        <v>20</v>
      </c>
      <c r="F302">
        <v>33</v>
      </c>
      <c r="G302">
        <v>52</v>
      </c>
      <c r="H302">
        <v>6</v>
      </c>
      <c r="I302">
        <v>40</v>
      </c>
      <c r="J302" t="s">
        <v>17</v>
      </c>
      <c r="K302">
        <v>7.2</v>
      </c>
      <c r="L302">
        <v>86.9</v>
      </c>
      <c r="M302" t="s">
        <v>18</v>
      </c>
      <c r="N302">
        <f>AVERAGEIF(Raw_Data!A:A, Raw_Data!A302, Raw_Data!D:D)</f>
        <v>7.4411764705882346</v>
      </c>
      <c r="O302" t="str">
        <f t="shared" si="4"/>
        <v>Medium Solar</v>
      </c>
    </row>
    <row r="303" spans="1:15">
      <c r="A303" t="s">
        <v>27</v>
      </c>
      <c r="B303">
        <v>9.9</v>
      </c>
      <c r="C303">
        <v>1138</v>
      </c>
      <c r="D303">
        <v>6.6</v>
      </c>
      <c r="E303" t="s">
        <v>16</v>
      </c>
      <c r="F303">
        <v>37</v>
      </c>
      <c r="G303">
        <v>90</v>
      </c>
      <c r="H303">
        <v>5</v>
      </c>
      <c r="I303">
        <v>21</v>
      </c>
      <c r="J303" t="s">
        <v>17</v>
      </c>
      <c r="K303">
        <v>2.7</v>
      </c>
      <c r="L303">
        <v>32.700000000000003</v>
      </c>
      <c r="M303" t="s">
        <v>18</v>
      </c>
      <c r="N303">
        <f>AVERAGEIF(Raw_Data!A:A, Raw_Data!A303, Raw_Data!D:D)</f>
        <v>6.8347826086956527</v>
      </c>
      <c r="O303" t="str">
        <f t="shared" si="4"/>
        <v>High Solar</v>
      </c>
    </row>
    <row r="304" spans="1:15">
      <c r="A304" t="s">
        <v>27</v>
      </c>
      <c r="B304">
        <v>13.9</v>
      </c>
      <c r="C304">
        <v>3621</v>
      </c>
      <c r="D304">
        <v>9.1</v>
      </c>
      <c r="E304" t="s">
        <v>28</v>
      </c>
      <c r="F304">
        <v>34</v>
      </c>
      <c r="G304">
        <v>69</v>
      </c>
      <c r="H304">
        <v>6</v>
      </c>
      <c r="I304">
        <v>29.5</v>
      </c>
      <c r="J304" t="s">
        <v>17</v>
      </c>
      <c r="K304">
        <v>5.3</v>
      </c>
      <c r="L304">
        <v>63.2</v>
      </c>
      <c r="M304" t="s">
        <v>18</v>
      </c>
      <c r="N304">
        <f>AVERAGEIF(Raw_Data!A:A, Raw_Data!A304, Raw_Data!D:D)</f>
        <v>6.8347826086956527</v>
      </c>
      <c r="O304" t="str">
        <f t="shared" si="4"/>
        <v>Medium Solar</v>
      </c>
    </row>
    <row r="305" spans="1:15">
      <c r="A305" t="s">
        <v>26</v>
      </c>
      <c r="B305">
        <v>5.9</v>
      </c>
      <c r="C305">
        <v>925</v>
      </c>
      <c r="D305">
        <v>3.8</v>
      </c>
      <c r="E305" t="s">
        <v>16</v>
      </c>
      <c r="F305">
        <v>25</v>
      </c>
      <c r="G305">
        <v>50</v>
      </c>
      <c r="H305">
        <v>5</v>
      </c>
      <c r="I305">
        <v>37</v>
      </c>
      <c r="J305" t="s">
        <v>21</v>
      </c>
      <c r="K305">
        <v>0.9</v>
      </c>
      <c r="L305">
        <v>11.2</v>
      </c>
      <c r="M305" t="s">
        <v>21</v>
      </c>
      <c r="N305">
        <f>AVERAGEIF(Raw_Data!A:A, Raw_Data!A305, Raw_Data!D:D)</f>
        <v>6.9771428571428586</v>
      </c>
      <c r="O305" t="str">
        <f t="shared" si="4"/>
        <v>Medium Solar</v>
      </c>
    </row>
    <row r="306" spans="1:15">
      <c r="A306" t="s">
        <v>15</v>
      </c>
      <c r="B306">
        <v>14.6</v>
      </c>
      <c r="C306">
        <v>2932</v>
      </c>
      <c r="D306">
        <v>9.6999999999999993</v>
      </c>
      <c r="E306" t="s">
        <v>20</v>
      </c>
      <c r="F306">
        <v>38</v>
      </c>
      <c r="G306">
        <v>71</v>
      </c>
      <c r="H306">
        <v>9</v>
      </c>
      <c r="I306">
        <v>19.5</v>
      </c>
      <c r="J306" t="s">
        <v>17</v>
      </c>
      <c r="K306">
        <v>5.9</v>
      </c>
      <c r="L306">
        <v>70.8</v>
      </c>
      <c r="M306" t="s">
        <v>17</v>
      </c>
      <c r="N306">
        <f>AVERAGEIF(Raw_Data!A:A, Raw_Data!A306, Raw_Data!D:D)</f>
        <v>7.1264705882352937</v>
      </c>
      <c r="O306" t="str">
        <f t="shared" si="4"/>
        <v>High Solar</v>
      </c>
    </row>
    <row r="307" spans="1:15">
      <c r="A307" t="s">
        <v>35</v>
      </c>
      <c r="B307">
        <v>16.600000000000001</v>
      </c>
      <c r="C307">
        <v>4651</v>
      </c>
      <c r="D307">
        <v>8</v>
      </c>
      <c r="E307" t="s">
        <v>23</v>
      </c>
      <c r="F307">
        <v>40</v>
      </c>
      <c r="G307">
        <v>74</v>
      </c>
      <c r="H307">
        <v>6</v>
      </c>
      <c r="I307">
        <v>31</v>
      </c>
      <c r="J307" t="s">
        <v>17</v>
      </c>
      <c r="K307">
        <v>5.5</v>
      </c>
      <c r="L307">
        <v>66.400000000000006</v>
      </c>
      <c r="M307" t="s">
        <v>17</v>
      </c>
      <c r="N307">
        <f>AVERAGEIF(Raw_Data!A:A, Raw_Data!A307, Raw_Data!D:D)</f>
        <v>7.4206896551724144</v>
      </c>
      <c r="O307" t="str">
        <f t="shared" si="4"/>
        <v>High Solar</v>
      </c>
    </row>
    <row r="308" spans="1:15">
      <c r="A308" t="s">
        <v>22</v>
      </c>
      <c r="B308">
        <v>23.6</v>
      </c>
      <c r="C308">
        <v>2372</v>
      </c>
      <c r="D308">
        <v>10.3</v>
      </c>
      <c r="E308" t="s">
        <v>20</v>
      </c>
      <c r="F308">
        <v>42</v>
      </c>
      <c r="G308">
        <v>85</v>
      </c>
      <c r="H308">
        <v>6</v>
      </c>
      <c r="I308">
        <v>19.5</v>
      </c>
      <c r="J308" t="s">
        <v>32</v>
      </c>
      <c r="K308">
        <v>10.1</v>
      </c>
      <c r="L308">
        <v>121.5</v>
      </c>
      <c r="M308" t="s">
        <v>17</v>
      </c>
      <c r="N308">
        <f>AVERAGEIF(Raw_Data!A:A, Raw_Data!A308, Raw_Data!D:D)</f>
        <v>7.0051282051282051</v>
      </c>
      <c r="O308" t="str">
        <f t="shared" si="4"/>
        <v>High Solar</v>
      </c>
    </row>
    <row r="309" spans="1:15">
      <c r="A309" t="s">
        <v>35</v>
      </c>
      <c r="B309">
        <v>20</v>
      </c>
      <c r="C309">
        <v>4036</v>
      </c>
      <c r="D309">
        <v>6.7</v>
      </c>
      <c r="E309" t="s">
        <v>20</v>
      </c>
      <c r="F309">
        <v>38</v>
      </c>
      <c r="G309">
        <v>95</v>
      </c>
      <c r="H309">
        <v>7</v>
      </c>
      <c r="I309">
        <v>14.5</v>
      </c>
      <c r="J309" t="s">
        <v>17</v>
      </c>
      <c r="K309">
        <v>5.6</v>
      </c>
      <c r="L309">
        <v>67</v>
      </c>
      <c r="M309" t="s">
        <v>17</v>
      </c>
      <c r="N309">
        <f>AVERAGEIF(Raw_Data!A:A, Raw_Data!A309, Raw_Data!D:D)</f>
        <v>7.4206896551724144</v>
      </c>
      <c r="O309" t="str">
        <f t="shared" si="4"/>
        <v>High Solar</v>
      </c>
    </row>
    <row r="310" spans="1:15">
      <c r="A310" t="s">
        <v>30</v>
      </c>
      <c r="B310">
        <v>1.7</v>
      </c>
      <c r="C310">
        <v>662</v>
      </c>
      <c r="D310">
        <v>7.8</v>
      </c>
      <c r="E310" t="s">
        <v>16</v>
      </c>
      <c r="F310">
        <v>32</v>
      </c>
      <c r="G310">
        <v>71</v>
      </c>
      <c r="H310">
        <v>3</v>
      </c>
      <c r="I310">
        <v>37.5</v>
      </c>
      <c r="J310" t="s">
        <v>17</v>
      </c>
      <c r="K310">
        <v>0.6</v>
      </c>
      <c r="L310">
        <v>6.6</v>
      </c>
      <c r="M310" t="s">
        <v>18</v>
      </c>
      <c r="N310">
        <f>AVERAGEIF(Raw_Data!A:A, Raw_Data!A310, Raw_Data!D:D)</f>
        <v>7</v>
      </c>
      <c r="O310" t="str">
        <f t="shared" si="4"/>
        <v>High Solar</v>
      </c>
    </row>
    <row r="311" spans="1:15">
      <c r="A311" t="s">
        <v>22</v>
      </c>
      <c r="B311">
        <v>21.7</v>
      </c>
      <c r="C311">
        <v>3692</v>
      </c>
      <c r="D311">
        <v>6.1</v>
      </c>
      <c r="E311" t="s">
        <v>20</v>
      </c>
      <c r="F311">
        <v>34</v>
      </c>
      <c r="G311">
        <v>54</v>
      </c>
      <c r="H311">
        <v>6</v>
      </c>
      <c r="I311">
        <v>38</v>
      </c>
      <c r="J311" t="s">
        <v>17</v>
      </c>
      <c r="K311">
        <v>5.5</v>
      </c>
      <c r="L311">
        <v>66.2</v>
      </c>
      <c r="M311" t="s">
        <v>18</v>
      </c>
      <c r="N311">
        <f>AVERAGEIF(Raw_Data!A:A, Raw_Data!A311, Raw_Data!D:D)</f>
        <v>7.0051282051282051</v>
      </c>
      <c r="O311" t="str">
        <f t="shared" si="4"/>
        <v>Medium Solar</v>
      </c>
    </row>
    <row r="312" spans="1:15">
      <c r="A312" t="s">
        <v>25</v>
      </c>
      <c r="B312">
        <v>3.5</v>
      </c>
      <c r="C312">
        <v>563</v>
      </c>
      <c r="D312">
        <v>6</v>
      </c>
      <c r="E312" t="s">
        <v>20</v>
      </c>
      <c r="F312">
        <v>40</v>
      </c>
      <c r="G312">
        <v>70</v>
      </c>
      <c r="H312">
        <v>2</v>
      </c>
      <c r="I312">
        <v>41</v>
      </c>
      <c r="J312" t="s">
        <v>18</v>
      </c>
      <c r="K312">
        <v>0.9</v>
      </c>
      <c r="L312">
        <v>10.5</v>
      </c>
      <c r="M312" t="s">
        <v>18</v>
      </c>
      <c r="N312">
        <f>AVERAGEIF(Raw_Data!A:A, Raw_Data!A312, Raw_Data!D:D)</f>
        <v>7.0823529411764703</v>
      </c>
      <c r="O312" t="str">
        <f t="shared" si="4"/>
        <v>Medium Solar</v>
      </c>
    </row>
    <row r="313" spans="1:15">
      <c r="A313" t="s">
        <v>37</v>
      </c>
      <c r="B313">
        <v>24.1</v>
      </c>
      <c r="C313">
        <v>4472</v>
      </c>
      <c r="D313">
        <v>4.5</v>
      </c>
      <c r="E313" t="s">
        <v>20</v>
      </c>
      <c r="F313">
        <v>30</v>
      </c>
      <c r="G313">
        <v>57</v>
      </c>
      <c r="H313">
        <v>9</v>
      </c>
      <c r="I313">
        <v>23.5</v>
      </c>
      <c r="J313" t="s">
        <v>18</v>
      </c>
      <c r="K313">
        <v>4.5</v>
      </c>
      <c r="L313">
        <v>54.2</v>
      </c>
      <c r="M313" t="s">
        <v>18</v>
      </c>
      <c r="N313">
        <f>AVERAGEIF(Raw_Data!A:A, Raw_Data!A313, Raw_Data!D:D)</f>
        <v>6.7384615384615376</v>
      </c>
      <c r="O313" t="str">
        <f t="shared" si="4"/>
        <v>Medium Solar</v>
      </c>
    </row>
    <row r="314" spans="1:15">
      <c r="A314" t="s">
        <v>19</v>
      </c>
      <c r="B314">
        <v>3.5</v>
      </c>
      <c r="C314">
        <v>115</v>
      </c>
      <c r="D314">
        <v>7</v>
      </c>
      <c r="E314" t="s">
        <v>28</v>
      </c>
      <c r="F314">
        <v>40</v>
      </c>
      <c r="G314">
        <v>82</v>
      </c>
      <c r="H314">
        <v>3</v>
      </c>
      <c r="I314">
        <v>27</v>
      </c>
      <c r="J314" t="s">
        <v>17</v>
      </c>
      <c r="K314">
        <v>1</v>
      </c>
      <c r="L314">
        <v>12.3</v>
      </c>
      <c r="M314" t="s">
        <v>18</v>
      </c>
      <c r="N314">
        <f>AVERAGEIF(Raw_Data!A:A, Raw_Data!A314, Raw_Data!D:D)</f>
        <v>6.8899999999999988</v>
      </c>
      <c r="O314" t="str">
        <f t="shared" si="4"/>
        <v>High Solar</v>
      </c>
    </row>
    <row r="315" spans="1:15">
      <c r="A315" t="s">
        <v>22</v>
      </c>
      <c r="B315">
        <v>9.5</v>
      </c>
      <c r="C315">
        <v>918</v>
      </c>
      <c r="D315">
        <v>5.7</v>
      </c>
      <c r="E315" t="s">
        <v>28</v>
      </c>
      <c r="F315">
        <v>31</v>
      </c>
      <c r="G315">
        <v>79</v>
      </c>
      <c r="H315">
        <v>5</v>
      </c>
      <c r="I315">
        <v>21.5</v>
      </c>
      <c r="J315" t="s">
        <v>18</v>
      </c>
      <c r="K315">
        <v>2.2999999999999998</v>
      </c>
      <c r="L315">
        <v>27.1</v>
      </c>
      <c r="M315" t="s">
        <v>18</v>
      </c>
      <c r="N315">
        <f>AVERAGEIF(Raw_Data!A:A, Raw_Data!A315, Raw_Data!D:D)</f>
        <v>7.0051282051282051</v>
      </c>
      <c r="O315" t="str">
        <f t="shared" si="4"/>
        <v>High Solar</v>
      </c>
    </row>
    <row r="316" spans="1:15">
      <c r="A316" t="s">
        <v>34</v>
      </c>
      <c r="B316">
        <v>12.7</v>
      </c>
      <c r="C316">
        <v>3040</v>
      </c>
      <c r="D316">
        <v>7.3</v>
      </c>
      <c r="E316" t="s">
        <v>20</v>
      </c>
      <c r="F316">
        <v>42</v>
      </c>
      <c r="G316">
        <v>80</v>
      </c>
      <c r="H316">
        <v>6</v>
      </c>
      <c r="I316">
        <v>28</v>
      </c>
      <c r="J316" t="s">
        <v>17</v>
      </c>
      <c r="K316">
        <v>3.9</v>
      </c>
      <c r="L316">
        <v>46.4</v>
      </c>
      <c r="M316" t="s">
        <v>17</v>
      </c>
      <c r="N316">
        <f>AVERAGEIF(Raw_Data!A:A, Raw_Data!A316, Raw_Data!D:D)</f>
        <v>7.4411764705882346</v>
      </c>
      <c r="O316" t="str">
        <f t="shared" si="4"/>
        <v>High Solar</v>
      </c>
    </row>
    <row r="317" spans="1:15">
      <c r="A317" t="s">
        <v>30</v>
      </c>
      <c r="B317">
        <v>1.2</v>
      </c>
      <c r="C317">
        <v>741</v>
      </c>
      <c r="D317">
        <v>5.2</v>
      </c>
      <c r="E317" t="s">
        <v>23</v>
      </c>
      <c r="F317">
        <v>28</v>
      </c>
      <c r="G317">
        <v>59</v>
      </c>
      <c r="H317">
        <v>3</v>
      </c>
      <c r="I317">
        <v>43.5</v>
      </c>
      <c r="J317" t="s">
        <v>18</v>
      </c>
      <c r="K317">
        <v>0.3</v>
      </c>
      <c r="L317">
        <v>3.1</v>
      </c>
      <c r="M317" t="s">
        <v>18</v>
      </c>
      <c r="N317">
        <f>AVERAGEIF(Raw_Data!A:A, Raw_Data!A317, Raw_Data!D:D)</f>
        <v>7</v>
      </c>
      <c r="O317" t="str">
        <f t="shared" si="4"/>
        <v>Medium Solar</v>
      </c>
    </row>
    <row r="318" spans="1:15">
      <c r="A318" t="s">
        <v>19</v>
      </c>
      <c r="B318">
        <v>15.9</v>
      </c>
      <c r="C318">
        <v>3466</v>
      </c>
      <c r="D318">
        <v>5.4</v>
      </c>
      <c r="E318" t="s">
        <v>28</v>
      </c>
      <c r="F318">
        <v>29</v>
      </c>
      <c r="G318">
        <v>48</v>
      </c>
      <c r="H318">
        <v>9</v>
      </c>
      <c r="I318">
        <v>33</v>
      </c>
      <c r="J318" t="s">
        <v>18</v>
      </c>
      <c r="K318">
        <v>3.6</v>
      </c>
      <c r="L318">
        <v>42.9</v>
      </c>
      <c r="M318" t="s">
        <v>21</v>
      </c>
      <c r="N318">
        <f>AVERAGEIF(Raw_Data!A:A, Raw_Data!A318, Raw_Data!D:D)</f>
        <v>6.8899999999999988</v>
      </c>
      <c r="O318" t="str">
        <f t="shared" si="4"/>
        <v>Low Solar</v>
      </c>
    </row>
    <row r="319" spans="1:15">
      <c r="A319" t="s">
        <v>19</v>
      </c>
      <c r="B319">
        <v>9.1999999999999993</v>
      </c>
      <c r="C319">
        <v>1925</v>
      </c>
      <c r="D319">
        <v>5.2</v>
      </c>
      <c r="E319" t="s">
        <v>23</v>
      </c>
      <c r="F319">
        <v>28</v>
      </c>
      <c r="G319">
        <v>65</v>
      </c>
      <c r="H319">
        <v>6</v>
      </c>
      <c r="I319">
        <v>26.5</v>
      </c>
      <c r="J319" t="s">
        <v>18</v>
      </c>
      <c r="K319">
        <v>2</v>
      </c>
      <c r="L319">
        <v>23.9</v>
      </c>
      <c r="M319" t="s">
        <v>18</v>
      </c>
      <c r="N319">
        <f>AVERAGEIF(Raw_Data!A:A, Raw_Data!A319, Raw_Data!D:D)</f>
        <v>6.8899999999999988</v>
      </c>
      <c r="O319" t="str">
        <f t="shared" si="4"/>
        <v>Medium Solar</v>
      </c>
    </row>
    <row r="320" spans="1:15">
      <c r="A320" t="s">
        <v>35</v>
      </c>
      <c r="B320">
        <v>19.8</v>
      </c>
      <c r="C320">
        <v>4686</v>
      </c>
      <c r="D320">
        <v>7.8</v>
      </c>
      <c r="E320" t="s">
        <v>20</v>
      </c>
      <c r="F320">
        <v>25</v>
      </c>
      <c r="G320">
        <v>45</v>
      </c>
      <c r="H320">
        <v>7</v>
      </c>
      <c r="I320">
        <v>43.5</v>
      </c>
      <c r="J320" t="s">
        <v>17</v>
      </c>
      <c r="K320">
        <v>6.4</v>
      </c>
      <c r="L320">
        <v>77.2</v>
      </c>
      <c r="M320" t="s">
        <v>21</v>
      </c>
      <c r="N320">
        <f>AVERAGEIF(Raw_Data!A:A, Raw_Data!A320, Raw_Data!D:D)</f>
        <v>7.4206896551724144</v>
      </c>
      <c r="O320" t="str">
        <f t="shared" si="4"/>
        <v>Low Solar</v>
      </c>
    </row>
    <row r="321" spans="1:15">
      <c r="A321" t="s">
        <v>34</v>
      </c>
      <c r="B321">
        <v>15.5</v>
      </c>
      <c r="C321">
        <v>2575</v>
      </c>
      <c r="D321">
        <v>8.4</v>
      </c>
      <c r="E321" t="s">
        <v>16</v>
      </c>
      <c r="F321">
        <v>29</v>
      </c>
      <c r="G321">
        <v>52</v>
      </c>
      <c r="H321">
        <v>9</v>
      </c>
      <c r="I321">
        <v>27</v>
      </c>
      <c r="J321" t="s">
        <v>17</v>
      </c>
      <c r="K321">
        <v>5.4</v>
      </c>
      <c r="L321">
        <v>65.099999999999994</v>
      </c>
      <c r="M321" t="s">
        <v>18</v>
      </c>
      <c r="N321">
        <f>AVERAGEIF(Raw_Data!A:A, Raw_Data!A321, Raw_Data!D:D)</f>
        <v>7.4411764705882346</v>
      </c>
      <c r="O321" t="str">
        <f t="shared" si="4"/>
        <v>Medium Solar</v>
      </c>
    </row>
    <row r="322" spans="1:15">
      <c r="A322" t="s">
        <v>29</v>
      </c>
      <c r="B322">
        <v>23.4</v>
      </c>
      <c r="C322">
        <v>4540</v>
      </c>
      <c r="D322">
        <v>6.4</v>
      </c>
      <c r="E322" t="s">
        <v>16</v>
      </c>
      <c r="F322">
        <v>29</v>
      </c>
      <c r="G322">
        <v>56</v>
      </c>
      <c r="H322">
        <v>7</v>
      </c>
      <c r="I322">
        <v>30</v>
      </c>
      <c r="J322" t="s">
        <v>17</v>
      </c>
      <c r="K322">
        <v>6.2</v>
      </c>
      <c r="L322">
        <v>74.900000000000006</v>
      </c>
      <c r="M322" t="s">
        <v>18</v>
      </c>
      <c r="N322">
        <f>AVERAGEIF(Raw_Data!A:A, Raw_Data!A322, Raw_Data!D:D)</f>
        <v>7.0571428571428561</v>
      </c>
      <c r="O322" t="str">
        <f t="shared" ref="O322:O385" si="5">IF(G322&gt;70, "High Solar", IF(G322&lt;50, "Low Solar", "Medium Solar"))</f>
        <v>Medium Solar</v>
      </c>
    </row>
    <row r="323" spans="1:15">
      <c r="A323" t="s">
        <v>34</v>
      </c>
      <c r="B323">
        <v>6.8</v>
      </c>
      <c r="C323">
        <v>1827</v>
      </c>
      <c r="D323">
        <v>9.6</v>
      </c>
      <c r="E323" t="s">
        <v>23</v>
      </c>
      <c r="F323">
        <v>37</v>
      </c>
      <c r="G323">
        <v>79</v>
      </c>
      <c r="H323">
        <v>6</v>
      </c>
      <c r="I323">
        <v>18.5</v>
      </c>
      <c r="J323" t="s">
        <v>17</v>
      </c>
      <c r="K323">
        <v>2.7</v>
      </c>
      <c r="L323">
        <v>32.6</v>
      </c>
      <c r="M323" t="s">
        <v>17</v>
      </c>
      <c r="N323">
        <f>AVERAGEIF(Raw_Data!A:A, Raw_Data!A323, Raw_Data!D:D)</f>
        <v>7.4411764705882346</v>
      </c>
      <c r="O323" t="str">
        <f t="shared" si="5"/>
        <v>High Solar</v>
      </c>
    </row>
    <row r="324" spans="1:15">
      <c r="A324" t="s">
        <v>25</v>
      </c>
      <c r="B324">
        <v>3.5</v>
      </c>
      <c r="C324">
        <v>226</v>
      </c>
      <c r="D324">
        <v>6.2</v>
      </c>
      <c r="E324" t="s">
        <v>16</v>
      </c>
      <c r="F324">
        <v>28</v>
      </c>
      <c r="G324">
        <v>53</v>
      </c>
      <c r="H324">
        <v>3</v>
      </c>
      <c r="I324">
        <v>37.5</v>
      </c>
      <c r="J324" t="s">
        <v>17</v>
      </c>
      <c r="K324">
        <v>0.9</v>
      </c>
      <c r="L324">
        <v>10.9</v>
      </c>
      <c r="M324" t="s">
        <v>18</v>
      </c>
      <c r="N324">
        <f>AVERAGEIF(Raw_Data!A:A, Raw_Data!A324, Raw_Data!D:D)</f>
        <v>7.0823529411764703</v>
      </c>
      <c r="O324" t="str">
        <f t="shared" si="5"/>
        <v>Medium Solar</v>
      </c>
    </row>
    <row r="325" spans="1:15">
      <c r="A325" t="s">
        <v>31</v>
      </c>
      <c r="B325">
        <v>4</v>
      </c>
      <c r="C325">
        <v>718</v>
      </c>
      <c r="D325">
        <v>8.1</v>
      </c>
      <c r="E325" t="s">
        <v>16</v>
      </c>
      <c r="F325">
        <v>34</v>
      </c>
      <c r="G325">
        <v>68</v>
      </c>
      <c r="H325">
        <v>4</v>
      </c>
      <c r="I325">
        <v>37</v>
      </c>
      <c r="J325" t="s">
        <v>17</v>
      </c>
      <c r="K325">
        <v>1.4</v>
      </c>
      <c r="L325">
        <v>16.2</v>
      </c>
      <c r="M325" t="s">
        <v>18</v>
      </c>
      <c r="N325">
        <f>AVERAGEIF(Raw_Data!A:A, Raw_Data!A325, Raw_Data!D:D)</f>
        <v>6.5849999999999991</v>
      </c>
      <c r="O325" t="str">
        <f t="shared" si="5"/>
        <v>Medium Solar</v>
      </c>
    </row>
    <row r="326" spans="1:15">
      <c r="A326" t="s">
        <v>15</v>
      </c>
      <c r="B326">
        <v>22.1</v>
      </c>
      <c r="C326">
        <v>2036</v>
      </c>
      <c r="D326">
        <v>7.5</v>
      </c>
      <c r="E326" t="s">
        <v>16</v>
      </c>
      <c r="F326">
        <v>30</v>
      </c>
      <c r="G326">
        <v>35</v>
      </c>
      <c r="H326">
        <v>9</v>
      </c>
      <c r="I326">
        <v>41.5</v>
      </c>
      <c r="J326" t="s">
        <v>17</v>
      </c>
      <c r="K326">
        <v>6.9</v>
      </c>
      <c r="L326">
        <v>82.9</v>
      </c>
      <c r="M326" t="s">
        <v>21</v>
      </c>
      <c r="N326">
        <f>AVERAGEIF(Raw_Data!A:A, Raw_Data!A326, Raw_Data!D:D)</f>
        <v>7.1264705882352937</v>
      </c>
      <c r="O326" t="str">
        <f t="shared" si="5"/>
        <v>Low Solar</v>
      </c>
    </row>
    <row r="327" spans="1:15">
      <c r="A327" t="s">
        <v>35</v>
      </c>
      <c r="B327">
        <v>14.6</v>
      </c>
      <c r="C327">
        <v>3208</v>
      </c>
      <c r="D327">
        <v>7.3</v>
      </c>
      <c r="E327" t="s">
        <v>20</v>
      </c>
      <c r="F327">
        <v>35</v>
      </c>
      <c r="G327">
        <v>59</v>
      </c>
      <c r="H327">
        <v>8</v>
      </c>
      <c r="I327">
        <v>28.5</v>
      </c>
      <c r="J327" t="s">
        <v>17</v>
      </c>
      <c r="K327">
        <v>4.4000000000000004</v>
      </c>
      <c r="L327">
        <v>53.3</v>
      </c>
      <c r="M327" t="s">
        <v>18</v>
      </c>
      <c r="N327">
        <f>AVERAGEIF(Raw_Data!A:A, Raw_Data!A327, Raw_Data!D:D)</f>
        <v>7.4206896551724144</v>
      </c>
      <c r="O327" t="str">
        <f t="shared" si="5"/>
        <v>Medium Solar</v>
      </c>
    </row>
    <row r="328" spans="1:15">
      <c r="A328" t="s">
        <v>35</v>
      </c>
      <c r="B328">
        <v>11.5</v>
      </c>
      <c r="C328">
        <v>2486</v>
      </c>
      <c r="D328">
        <v>8.8000000000000007</v>
      </c>
      <c r="E328" t="s">
        <v>20</v>
      </c>
      <c r="F328">
        <v>32</v>
      </c>
      <c r="G328">
        <v>64</v>
      </c>
      <c r="H328">
        <v>9</v>
      </c>
      <c r="I328">
        <v>23</v>
      </c>
      <c r="J328" t="s">
        <v>17</v>
      </c>
      <c r="K328">
        <v>4.2</v>
      </c>
      <c r="L328">
        <v>50.6</v>
      </c>
      <c r="M328" t="s">
        <v>18</v>
      </c>
      <c r="N328">
        <f>AVERAGEIF(Raw_Data!A:A, Raw_Data!A328, Raw_Data!D:D)</f>
        <v>7.4206896551724144</v>
      </c>
      <c r="O328" t="str">
        <f t="shared" si="5"/>
        <v>Medium Solar</v>
      </c>
    </row>
    <row r="329" spans="1:15">
      <c r="A329" t="s">
        <v>31</v>
      </c>
      <c r="B329">
        <v>18.5</v>
      </c>
      <c r="C329">
        <v>4078</v>
      </c>
      <c r="D329">
        <v>5.7</v>
      </c>
      <c r="E329" t="s">
        <v>16</v>
      </c>
      <c r="F329">
        <v>31</v>
      </c>
      <c r="G329">
        <v>57</v>
      </c>
      <c r="H329">
        <v>6</v>
      </c>
      <c r="I329">
        <v>29.5</v>
      </c>
      <c r="J329" t="s">
        <v>18</v>
      </c>
      <c r="K329">
        <v>4.4000000000000004</v>
      </c>
      <c r="L329">
        <v>52.7</v>
      </c>
      <c r="M329" t="s">
        <v>18</v>
      </c>
      <c r="N329">
        <f>AVERAGEIF(Raw_Data!A:A, Raw_Data!A329, Raw_Data!D:D)</f>
        <v>6.5849999999999991</v>
      </c>
      <c r="O329" t="str">
        <f t="shared" si="5"/>
        <v>Medium Solar</v>
      </c>
    </row>
    <row r="330" spans="1:15">
      <c r="A330" t="s">
        <v>22</v>
      </c>
      <c r="B330">
        <v>6.4</v>
      </c>
      <c r="C330">
        <v>1722</v>
      </c>
      <c r="D330">
        <v>5</v>
      </c>
      <c r="E330" t="s">
        <v>16</v>
      </c>
      <c r="F330">
        <v>33</v>
      </c>
      <c r="G330">
        <v>51</v>
      </c>
      <c r="H330">
        <v>4</v>
      </c>
      <c r="I330">
        <v>36.5</v>
      </c>
      <c r="J330" t="s">
        <v>18</v>
      </c>
      <c r="K330">
        <v>1.3</v>
      </c>
      <c r="L330">
        <v>16</v>
      </c>
      <c r="M330" t="s">
        <v>18</v>
      </c>
      <c r="N330">
        <f>AVERAGEIF(Raw_Data!A:A, Raw_Data!A330, Raw_Data!D:D)</f>
        <v>7.0051282051282051</v>
      </c>
      <c r="O330" t="str">
        <f t="shared" si="5"/>
        <v>Medium Solar</v>
      </c>
    </row>
    <row r="331" spans="1:15">
      <c r="A331" t="s">
        <v>25</v>
      </c>
      <c r="B331">
        <v>7.1</v>
      </c>
      <c r="C331">
        <v>1633</v>
      </c>
      <c r="D331">
        <v>7.5</v>
      </c>
      <c r="E331" t="s">
        <v>23</v>
      </c>
      <c r="F331">
        <v>30</v>
      </c>
      <c r="G331">
        <v>58</v>
      </c>
      <c r="H331">
        <v>4</v>
      </c>
      <c r="I331">
        <v>39</v>
      </c>
      <c r="J331" t="s">
        <v>17</v>
      </c>
      <c r="K331">
        <v>2.2000000000000002</v>
      </c>
      <c r="L331">
        <v>26.6</v>
      </c>
      <c r="M331" t="s">
        <v>18</v>
      </c>
      <c r="N331">
        <f>AVERAGEIF(Raw_Data!A:A, Raw_Data!A331, Raw_Data!D:D)</f>
        <v>7.0823529411764703</v>
      </c>
      <c r="O331" t="str">
        <f t="shared" si="5"/>
        <v>Medium Solar</v>
      </c>
    </row>
    <row r="332" spans="1:15">
      <c r="A332" t="s">
        <v>26</v>
      </c>
      <c r="B332">
        <v>10.8</v>
      </c>
      <c r="C332">
        <v>3965</v>
      </c>
      <c r="D332">
        <v>5.8</v>
      </c>
      <c r="E332" t="s">
        <v>23</v>
      </c>
      <c r="F332">
        <v>25</v>
      </c>
      <c r="G332">
        <v>65</v>
      </c>
      <c r="H332">
        <v>9</v>
      </c>
      <c r="I332">
        <v>23.5</v>
      </c>
      <c r="J332" t="s">
        <v>18</v>
      </c>
      <c r="K332">
        <v>2.6</v>
      </c>
      <c r="L332">
        <v>31.3</v>
      </c>
      <c r="M332" t="s">
        <v>18</v>
      </c>
      <c r="N332">
        <f>AVERAGEIF(Raw_Data!A:A, Raw_Data!A332, Raw_Data!D:D)</f>
        <v>6.9771428571428586</v>
      </c>
      <c r="O332" t="str">
        <f t="shared" si="5"/>
        <v>Medium Solar</v>
      </c>
    </row>
    <row r="333" spans="1:15">
      <c r="A333" t="s">
        <v>33</v>
      </c>
      <c r="B333">
        <v>25</v>
      </c>
      <c r="C333">
        <v>2518</v>
      </c>
      <c r="D333">
        <v>7.5</v>
      </c>
      <c r="E333" t="s">
        <v>20</v>
      </c>
      <c r="F333">
        <v>30</v>
      </c>
      <c r="G333">
        <v>35</v>
      </c>
      <c r="H333">
        <v>9</v>
      </c>
      <c r="I333">
        <v>39.5</v>
      </c>
      <c r="J333" t="s">
        <v>17</v>
      </c>
      <c r="K333">
        <v>7.8</v>
      </c>
      <c r="L333">
        <v>93.8</v>
      </c>
      <c r="M333" t="s">
        <v>21</v>
      </c>
      <c r="N333">
        <f>AVERAGEIF(Raw_Data!A:A, Raw_Data!A333, Raw_Data!D:D)</f>
        <v>7.1129032258064528</v>
      </c>
      <c r="O333" t="str">
        <f t="shared" si="5"/>
        <v>Low Solar</v>
      </c>
    </row>
    <row r="334" spans="1:15">
      <c r="A334" t="s">
        <v>19</v>
      </c>
      <c r="B334">
        <v>13.4</v>
      </c>
      <c r="C334">
        <v>2313</v>
      </c>
      <c r="D334">
        <v>4.2</v>
      </c>
      <c r="E334" t="s">
        <v>20</v>
      </c>
      <c r="F334">
        <v>28</v>
      </c>
      <c r="G334">
        <v>34</v>
      </c>
      <c r="H334">
        <v>8</v>
      </c>
      <c r="I334">
        <v>38</v>
      </c>
      <c r="J334" t="s">
        <v>18</v>
      </c>
      <c r="K334">
        <v>2.2999999999999998</v>
      </c>
      <c r="L334">
        <v>28.1</v>
      </c>
      <c r="M334" t="s">
        <v>21</v>
      </c>
      <c r="N334">
        <f>AVERAGEIF(Raw_Data!A:A, Raw_Data!A334, Raw_Data!D:D)</f>
        <v>6.8899999999999988</v>
      </c>
      <c r="O334" t="str">
        <f t="shared" si="5"/>
        <v>Low Solar</v>
      </c>
    </row>
    <row r="335" spans="1:15">
      <c r="A335" t="s">
        <v>37</v>
      </c>
      <c r="B335">
        <v>18</v>
      </c>
      <c r="C335">
        <v>3775</v>
      </c>
      <c r="D335">
        <v>8</v>
      </c>
      <c r="E335" t="s">
        <v>20</v>
      </c>
      <c r="F335">
        <v>33</v>
      </c>
      <c r="G335">
        <v>79</v>
      </c>
      <c r="H335">
        <v>6</v>
      </c>
      <c r="I335">
        <v>21.5</v>
      </c>
      <c r="J335" t="s">
        <v>17</v>
      </c>
      <c r="K335">
        <v>6</v>
      </c>
      <c r="L335">
        <v>72</v>
      </c>
      <c r="M335" t="s">
        <v>17</v>
      </c>
      <c r="N335">
        <f>AVERAGEIF(Raw_Data!A:A, Raw_Data!A335, Raw_Data!D:D)</f>
        <v>6.7384615384615376</v>
      </c>
      <c r="O335" t="str">
        <f t="shared" si="5"/>
        <v>High Solar</v>
      </c>
    </row>
    <row r="336" spans="1:15">
      <c r="A336" t="s">
        <v>36</v>
      </c>
      <c r="B336">
        <v>4.5999999999999996</v>
      </c>
      <c r="C336">
        <v>197</v>
      </c>
      <c r="D336">
        <v>7.5</v>
      </c>
      <c r="E336" t="s">
        <v>16</v>
      </c>
      <c r="F336">
        <v>30</v>
      </c>
      <c r="G336">
        <v>44</v>
      </c>
      <c r="H336">
        <v>3</v>
      </c>
      <c r="I336">
        <v>43</v>
      </c>
      <c r="J336" t="s">
        <v>17</v>
      </c>
      <c r="K336">
        <v>1.4</v>
      </c>
      <c r="L336">
        <v>17.3</v>
      </c>
      <c r="M336" t="s">
        <v>21</v>
      </c>
      <c r="N336">
        <f>AVERAGEIF(Raw_Data!A:A, Raw_Data!A336, Raw_Data!D:D)</f>
        <v>7.5260869565217385</v>
      </c>
      <c r="O336" t="str">
        <f t="shared" si="5"/>
        <v>Low Solar</v>
      </c>
    </row>
    <row r="337" spans="1:15">
      <c r="A337" t="s">
        <v>31</v>
      </c>
      <c r="B337">
        <v>3.3</v>
      </c>
      <c r="C337">
        <v>617</v>
      </c>
      <c r="D337">
        <v>8</v>
      </c>
      <c r="E337" t="s">
        <v>28</v>
      </c>
      <c r="F337">
        <v>40</v>
      </c>
      <c r="G337">
        <v>95</v>
      </c>
      <c r="H337">
        <v>4</v>
      </c>
      <c r="I337">
        <v>14.5</v>
      </c>
      <c r="J337" t="s">
        <v>17</v>
      </c>
      <c r="K337">
        <v>1.1000000000000001</v>
      </c>
      <c r="L337">
        <v>13.2</v>
      </c>
      <c r="M337" t="s">
        <v>18</v>
      </c>
      <c r="N337">
        <f>AVERAGEIF(Raw_Data!A:A, Raw_Data!A337, Raw_Data!D:D)</f>
        <v>6.5849999999999991</v>
      </c>
      <c r="O337" t="str">
        <f t="shared" si="5"/>
        <v>High Solar</v>
      </c>
    </row>
    <row r="338" spans="1:15">
      <c r="A338" t="s">
        <v>29</v>
      </c>
      <c r="B338">
        <v>3.3</v>
      </c>
      <c r="C338">
        <v>550</v>
      </c>
      <c r="D338">
        <v>7.7</v>
      </c>
      <c r="E338" t="s">
        <v>20</v>
      </c>
      <c r="F338">
        <v>31</v>
      </c>
      <c r="G338">
        <v>53</v>
      </c>
      <c r="H338">
        <v>4</v>
      </c>
      <c r="I338">
        <v>37.5</v>
      </c>
      <c r="J338" t="s">
        <v>17</v>
      </c>
      <c r="K338">
        <v>1.1000000000000001</v>
      </c>
      <c r="L338">
        <v>12.7</v>
      </c>
      <c r="M338" t="s">
        <v>18</v>
      </c>
      <c r="N338">
        <f>AVERAGEIF(Raw_Data!A:A, Raw_Data!A338, Raw_Data!D:D)</f>
        <v>7.0571428571428561</v>
      </c>
      <c r="O338" t="str">
        <f t="shared" si="5"/>
        <v>Medium Solar</v>
      </c>
    </row>
    <row r="339" spans="1:15">
      <c r="A339" t="s">
        <v>27</v>
      </c>
      <c r="B339">
        <v>20.3</v>
      </c>
      <c r="C339">
        <v>3918</v>
      </c>
      <c r="D339">
        <v>5.8</v>
      </c>
      <c r="E339" t="s">
        <v>20</v>
      </c>
      <c r="F339">
        <v>25</v>
      </c>
      <c r="G339">
        <v>50</v>
      </c>
      <c r="H339">
        <v>6</v>
      </c>
      <c r="I339">
        <v>41</v>
      </c>
      <c r="J339" t="s">
        <v>18</v>
      </c>
      <c r="K339">
        <v>4.9000000000000004</v>
      </c>
      <c r="L339">
        <v>58.9</v>
      </c>
      <c r="M339" t="s">
        <v>21</v>
      </c>
      <c r="N339">
        <f>AVERAGEIF(Raw_Data!A:A, Raw_Data!A339, Raw_Data!D:D)</f>
        <v>6.8347826086956527</v>
      </c>
      <c r="O339" t="str">
        <f t="shared" si="5"/>
        <v>Medium Solar</v>
      </c>
    </row>
    <row r="340" spans="1:15">
      <c r="A340" t="s">
        <v>34</v>
      </c>
      <c r="B340">
        <v>8.5</v>
      </c>
      <c r="C340">
        <v>1857</v>
      </c>
      <c r="D340">
        <v>9.6999999999999993</v>
      </c>
      <c r="E340" t="s">
        <v>20</v>
      </c>
      <c r="F340">
        <v>38</v>
      </c>
      <c r="G340">
        <v>92</v>
      </c>
      <c r="H340">
        <v>5</v>
      </c>
      <c r="I340">
        <v>22</v>
      </c>
      <c r="J340" t="s">
        <v>17</v>
      </c>
      <c r="K340">
        <v>3.4</v>
      </c>
      <c r="L340">
        <v>41.2</v>
      </c>
      <c r="M340" t="s">
        <v>18</v>
      </c>
      <c r="N340">
        <f>AVERAGEIF(Raw_Data!A:A, Raw_Data!A340, Raw_Data!D:D)</f>
        <v>7.4411764705882346</v>
      </c>
      <c r="O340" t="str">
        <f t="shared" si="5"/>
        <v>High Solar</v>
      </c>
    </row>
    <row r="341" spans="1:15">
      <c r="A341" t="s">
        <v>35</v>
      </c>
      <c r="B341">
        <v>24.7</v>
      </c>
      <c r="C341">
        <v>2852</v>
      </c>
      <c r="D341">
        <v>10</v>
      </c>
      <c r="E341" t="s">
        <v>16</v>
      </c>
      <c r="F341">
        <v>40</v>
      </c>
      <c r="G341">
        <v>89</v>
      </c>
      <c r="H341">
        <v>9</v>
      </c>
      <c r="I341">
        <v>13.5</v>
      </c>
      <c r="J341" t="s">
        <v>17</v>
      </c>
      <c r="K341">
        <v>10.3</v>
      </c>
      <c r="L341">
        <v>123.5</v>
      </c>
      <c r="M341" t="s">
        <v>17</v>
      </c>
      <c r="N341">
        <f>AVERAGEIF(Raw_Data!A:A, Raw_Data!A341, Raw_Data!D:D)</f>
        <v>7.4206896551724144</v>
      </c>
      <c r="O341" t="str">
        <f t="shared" si="5"/>
        <v>High Solar</v>
      </c>
    </row>
    <row r="342" spans="1:15">
      <c r="A342" t="s">
        <v>33</v>
      </c>
      <c r="B342">
        <v>22.1</v>
      </c>
      <c r="C342">
        <v>2403</v>
      </c>
      <c r="D342">
        <v>8.5</v>
      </c>
      <c r="E342" t="s">
        <v>23</v>
      </c>
      <c r="F342">
        <v>30</v>
      </c>
      <c r="G342">
        <v>37</v>
      </c>
      <c r="H342">
        <v>6</v>
      </c>
      <c r="I342">
        <v>46.5</v>
      </c>
      <c r="J342" t="s">
        <v>17</v>
      </c>
      <c r="K342">
        <v>7.8</v>
      </c>
      <c r="L342">
        <v>93.9</v>
      </c>
      <c r="M342" t="s">
        <v>21</v>
      </c>
      <c r="N342">
        <f>AVERAGEIF(Raw_Data!A:A, Raw_Data!A342, Raw_Data!D:D)</f>
        <v>7.1129032258064528</v>
      </c>
      <c r="O342" t="str">
        <f t="shared" si="5"/>
        <v>Low Solar</v>
      </c>
    </row>
    <row r="343" spans="1:15">
      <c r="A343" t="s">
        <v>25</v>
      </c>
      <c r="B343">
        <v>13.8</v>
      </c>
      <c r="C343">
        <v>4795</v>
      </c>
      <c r="D343">
        <v>7.3</v>
      </c>
      <c r="E343" t="s">
        <v>28</v>
      </c>
      <c r="F343">
        <v>42</v>
      </c>
      <c r="G343">
        <v>94</v>
      </c>
      <c r="H343">
        <v>7</v>
      </c>
      <c r="I343">
        <v>13</v>
      </c>
      <c r="J343" t="s">
        <v>17</v>
      </c>
      <c r="K343">
        <v>4.2</v>
      </c>
      <c r="L343">
        <v>50.4</v>
      </c>
      <c r="M343" t="s">
        <v>17</v>
      </c>
      <c r="N343">
        <f>AVERAGEIF(Raw_Data!A:A, Raw_Data!A343, Raw_Data!D:D)</f>
        <v>7.0823529411764703</v>
      </c>
      <c r="O343" t="str">
        <f t="shared" si="5"/>
        <v>High Solar</v>
      </c>
    </row>
    <row r="344" spans="1:15">
      <c r="A344" t="s">
        <v>25</v>
      </c>
      <c r="B344">
        <v>16</v>
      </c>
      <c r="C344">
        <v>2110</v>
      </c>
      <c r="D344">
        <v>4.0999999999999996</v>
      </c>
      <c r="E344" t="s">
        <v>20</v>
      </c>
      <c r="F344">
        <v>27</v>
      </c>
      <c r="G344">
        <v>56</v>
      </c>
      <c r="H344">
        <v>8</v>
      </c>
      <c r="I344">
        <v>34</v>
      </c>
      <c r="J344" t="s">
        <v>18</v>
      </c>
      <c r="K344">
        <v>2.7</v>
      </c>
      <c r="L344">
        <v>32.799999999999997</v>
      </c>
      <c r="M344" t="s">
        <v>18</v>
      </c>
      <c r="N344">
        <f>AVERAGEIF(Raw_Data!A:A, Raw_Data!A344, Raw_Data!D:D)</f>
        <v>7.0823529411764703</v>
      </c>
      <c r="O344" t="str">
        <f t="shared" si="5"/>
        <v>Medium Solar</v>
      </c>
    </row>
    <row r="345" spans="1:15">
      <c r="A345" t="s">
        <v>26</v>
      </c>
      <c r="B345">
        <v>12</v>
      </c>
      <c r="C345">
        <v>3526</v>
      </c>
      <c r="D345">
        <v>8.5</v>
      </c>
      <c r="E345" t="s">
        <v>16</v>
      </c>
      <c r="F345">
        <v>30</v>
      </c>
      <c r="G345">
        <v>32</v>
      </c>
      <c r="H345">
        <v>8</v>
      </c>
      <c r="I345">
        <v>41</v>
      </c>
      <c r="J345" t="s">
        <v>17</v>
      </c>
      <c r="K345">
        <v>4.3</v>
      </c>
      <c r="L345">
        <v>51</v>
      </c>
      <c r="M345" t="s">
        <v>21</v>
      </c>
      <c r="N345">
        <f>AVERAGEIF(Raw_Data!A:A, Raw_Data!A345, Raw_Data!D:D)</f>
        <v>6.9771428571428586</v>
      </c>
      <c r="O345" t="str">
        <f t="shared" si="5"/>
        <v>Low Solar</v>
      </c>
    </row>
    <row r="346" spans="1:15">
      <c r="A346" t="s">
        <v>19</v>
      </c>
      <c r="B346">
        <v>13.6</v>
      </c>
      <c r="C346">
        <v>4087</v>
      </c>
      <c r="D346">
        <v>6.8</v>
      </c>
      <c r="E346" t="s">
        <v>28</v>
      </c>
      <c r="F346">
        <v>45</v>
      </c>
      <c r="G346">
        <v>76</v>
      </c>
      <c r="H346">
        <v>6</v>
      </c>
      <c r="I346">
        <v>30</v>
      </c>
      <c r="J346" t="s">
        <v>17</v>
      </c>
      <c r="K346">
        <v>3.9</v>
      </c>
      <c r="L346">
        <v>46.2</v>
      </c>
      <c r="M346" t="s">
        <v>17</v>
      </c>
      <c r="N346">
        <f>AVERAGEIF(Raw_Data!A:A, Raw_Data!A346, Raw_Data!D:D)</f>
        <v>6.8899999999999988</v>
      </c>
      <c r="O346" t="str">
        <f t="shared" si="5"/>
        <v>High Solar</v>
      </c>
    </row>
    <row r="347" spans="1:15">
      <c r="A347" t="s">
        <v>37</v>
      </c>
      <c r="B347">
        <v>23.2</v>
      </c>
      <c r="C347">
        <v>2041</v>
      </c>
      <c r="D347">
        <v>4.8</v>
      </c>
      <c r="E347" t="s">
        <v>28</v>
      </c>
      <c r="F347">
        <v>32</v>
      </c>
      <c r="G347">
        <v>69</v>
      </c>
      <c r="H347">
        <v>8</v>
      </c>
      <c r="I347">
        <v>19.5</v>
      </c>
      <c r="J347" t="s">
        <v>18</v>
      </c>
      <c r="K347">
        <v>4.5999999999999996</v>
      </c>
      <c r="L347">
        <v>55.7</v>
      </c>
      <c r="M347" t="s">
        <v>18</v>
      </c>
      <c r="N347">
        <f>AVERAGEIF(Raw_Data!A:A, Raw_Data!A347, Raw_Data!D:D)</f>
        <v>6.7384615384615376</v>
      </c>
      <c r="O347" t="str">
        <f t="shared" si="5"/>
        <v>Medium Solar</v>
      </c>
    </row>
    <row r="348" spans="1:15">
      <c r="A348" t="s">
        <v>26</v>
      </c>
      <c r="B348">
        <v>3.1</v>
      </c>
      <c r="C348">
        <v>657</v>
      </c>
      <c r="D348">
        <v>8.6</v>
      </c>
      <c r="E348" t="s">
        <v>28</v>
      </c>
      <c r="F348">
        <v>37</v>
      </c>
      <c r="G348">
        <v>93</v>
      </c>
      <c r="H348">
        <v>2</v>
      </c>
      <c r="I348">
        <v>26.5</v>
      </c>
      <c r="J348" t="s">
        <v>17</v>
      </c>
      <c r="K348">
        <v>1.1000000000000001</v>
      </c>
      <c r="L348">
        <v>13.3</v>
      </c>
      <c r="M348" t="s">
        <v>18</v>
      </c>
      <c r="N348">
        <f>AVERAGEIF(Raw_Data!A:A, Raw_Data!A348, Raw_Data!D:D)</f>
        <v>6.9771428571428586</v>
      </c>
      <c r="O348" t="str">
        <f t="shared" si="5"/>
        <v>High Solar</v>
      </c>
    </row>
    <row r="349" spans="1:15">
      <c r="A349" t="s">
        <v>15</v>
      </c>
      <c r="B349">
        <v>16.100000000000001</v>
      </c>
      <c r="C349">
        <v>4287</v>
      </c>
      <c r="D349">
        <v>5.2</v>
      </c>
      <c r="E349" t="s">
        <v>16</v>
      </c>
      <c r="F349">
        <v>28</v>
      </c>
      <c r="G349">
        <v>58</v>
      </c>
      <c r="H349">
        <v>9</v>
      </c>
      <c r="I349">
        <v>28</v>
      </c>
      <c r="J349" t="s">
        <v>18</v>
      </c>
      <c r="K349">
        <v>3.5</v>
      </c>
      <c r="L349">
        <v>41.9</v>
      </c>
      <c r="M349" t="s">
        <v>18</v>
      </c>
      <c r="N349">
        <f>AVERAGEIF(Raw_Data!A:A, Raw_Data!A349, Raw_Data!D:D)</f>
        <v>7.1264705882352937</v>
      </c>
      <c r="O349" t="str">
        <f t="shared" si="5"/>
        <v>Medium Solar</v>
      </c>
    </row>
    <row r="350" spans="1:15">
      <c r="A350" t="s">
        <v>24</v>
      </c>
      <c r="B350">
        <v>5.8</v>
      </c>
      <c r="C350">
        <v>1032</v>
      </c>
      <c r="D350">
        <v>6.3</v>
      </c>
      <c r="E350" t="s">
        <v>16</v>
      </c>
      <c r="F350">
        <v>35</v>
      </c>
      <c r="G350">
        <v>65</v>
      </c>
      <c r="H350">
        <v>7</v>
      </c>
      <c r="I350">
        <v>29.5</v>
      </c>
      <c r="J350" t="s">
        <v>17</v>
      </c>
      <c r="K350">
        <v>1.5</v>
      </c>
      <c r="L350">
        <v>18.3</v>
      </c>
      <c r="M350" t="s">
        <v>18</v>
      </c>
      <c r="N350">
        <f>AVERAGEIF(Raw_Data!A:A, Raw_Data!A350, Raw_Data!D:D)</f>
        <v>7.0352941176470587</v>
      </c>
      <c r="O350" t="str">
        <f t="shared" si="5"/>
        <v>Medium Solar</v>
      </c>
    </row>
    <row r="351" spans="1:15">
      <c r="A351" t="s">
        <v>19</v>
      </c>
      <c r="B351">
        <v>12.6</v>
      </c>
      <c r="C351">
        <v>4343</v>
      </c>
      <c r="D351">
        <v>9.3000000000000007</v>
      </c>
      <c r="E351" t="s">
        <v>23</v>
      </c>
      <c r="F351">
        <v>42</v>
      </c>
      <c r="G351">
        <v>76</v>
      </c>
      <c r="H351">
        <v>9</v>
      </c>
      <c r="I351">
        <v>17</v>
      </c>
      <c r="J351" t="s">
        <v>17</v>
      </c>
      <c r="K351">
        <v>4.9000000000000004</v>
      </c>
      <c r="L351">
        <v>58.6</v>
      </c>
      <c r="M351" t="s">
        <v>17</v>
      </c>
      <c r="N351">
        <f>AVERAGEIF(Raw_Data!A:A, Raw_Data!A351, Raw_Data!D:D)</f>
        <v>6.8899999999999988</v>
      </c>
      <c r="O351" t="str">
        <f t="shared" si="5"/>
        <v>High Solar</v>
      </c>
    </row>
    <row r="352" spans="1:15">
      <c r="A352" t="s">
        <v>29</v>
      </c>
      <c r="B352">
        <v>2.2000000000000002</v>
      </c>
      <c r="C352">
        <v>787</v>
      </c>
      <c r="D352">
        <v>5.6</v>
      </c>
      <c r="E352" t="s">
        <v>23</v>
      </c>
      <c r="F352">
        <v>37</v>
      </c>
      <c r="G352">
        <v>94</v>
      </c>
      <c r="H352">
        <v>4</v>
      </c>
      <c r="I352">
        <v>15</v>
      </c>
      <c r="J352" t="s">
        <v>18</v>
      </c>
      <c r="K352">
        <v>0.5</v>
      </c>
      <c r="L352">
        <v>6.2</v>
      </c>
      <c r="M352" t="s">
        <v>18</v>
      </c>
      <c r="N352">
        <f>AVERAGEIF(Raw_Data!A:A, Raw_Data!A352, Raw_Data!D:D)</f>
        <v>7.0571428571428561</v>
      </c>
      <c r="O352" t="str">
        <f t="shared" si="5"/>
        <v>High Solar</v>
      </c>
    </row>
    <row r="353" spans="1:15">
      <c r="A353" t="s">
        <v>29</v>
      </c>
      <c r="B353">
        <v>1.9</v>
      </c>
      <c r="C353">
        <v>137</v>
      </c>
      <c r="D353">
        <v>7</v>
      </c>
      <c r="E353" t="s">
        <v>20</v>
      </c>
      <c r="F353">
        <v>40</v>
      </c>
      <c r="G353">
        <v>89</v>
      </c>
      <c r="H353">
        <v>2</v>
      </c>
      <c r="I353">
        <v>27.5</v>
      </c>
      <c r="J353" t="s">
        <v>17</v>
      </c>
      <c r="K353">
        <v>0.6</v>
      </c>
      <c r="L353">
        <v>6.7</v>
      </c>
      <c r="M353" t="s">
        <v>18</v>
      </c>
      <c r="N353">
        <f>AVERAGEIF(Raw_Data!A:A, Raw_Data!A353, Raw_Data!D:D)</f>
        <v>7.0571428571428561</v>
      </c>
      <c r="O353" t="str">
        <f t="shared" si="5"/>
        <v>High Solar</v>
      </c>
    </row>
    <row r="354" spans="1:15">
      <c r="A354" t="s">
        <v>27</v>
      </c>
      <c r="B354">
        <v>6.3</v>
      </c>
      <c r="C354">
        <v>1127</v>
      </c>
      <c r="D354">
        <v>4.0999999999999996</v>
      </c>
      <c r="E354" t="s">
        <v>20</v>
      </c>
      <c r="F354">
        <v>27</v>
      </c>
      <c r="G354">
        <v>56</v>
      </c>
      <c r="H354">
        <v>7</v>
      </c>
      <c r="I354">
        <v>38</v>
      </c>
      <c r="J354" t="s">
        <v>18</v>
      </c>
      <c r="K354">
        <v>1.1000000000000001</v>
      </c>
      <c r="L354">
        <v>12.9</v>
      </c>
      <c r="M354" t="s">
        <v>18</v>
      </c>
      <c r="N354">
        <f>AVERAGEIF(Raw_Data!A:A, Raw_Data!A354, Raw_Data!D:D)</f>
        <v>6.8347826086956527</v>
      </c>
      <c r="O354" t="str">
        <f t="shared" si="5"/>
        <v>Medium Solar</v>
      </c>
    </row>
    <row r="355" spans="1:15">
      <c r="A355" t="s">
        <v>31</v>
      </c>
      <c r="B355">
        <v>22.5</v>
      </c>
      <c r="C355">
        <v>2385</v>
      </c>
      <c r="D355">
        <v>6.8</v>
      </c>
      <c r="E355" t="s">
        <v>20</v>
      </c>
      <c r="F355">
        <v>25</v>
      </c>
      <c r="G355">
        <v>55</v>
      </c>
      <c r="H355">
        <v>8</v>
      </c>
      <c r="I355">
        <v>32.5</v>
      </c>
      <c r="J355" t="s">
        <v>17</v>
      </c>
      <c r="K355">
        <v>6.4</v>
      </c>
      <c r="L355">
        <v>76.5</v>
      </c>
      <c r="M355" t="s">
        <v>18</v>
      </c>
      <c r="N355">
        <f>AVERAGEIF(Raw_Data!A:A, Raw_Data!A355, Raw_Data!D:D)</f>
        <v>6.5849999999999991</v>
      </c>
      <c r="O355" t="str">
        <f t="shared" si="5"/>
        <v>Medium Solar</v>
      </c>
    </row>
    <row r="356" spans="1:15">
      <c r="A356" t="s">
        <v>25</v>
      </c>
      <c r="B356">
        <v>9.6</v>
      </c>
      <c r="C356">
        <v>1915</v>
      </c>
      <c r="D356">
        <v>9.1</v>
      </c>
      <c r="E356" t="s">
        <v>23</v>
      </c>
      <c r="F356">
        <v>34</v>
      </c>
      <c r="G356">
        <v>52</v>
      </c>
      <c r="H356">
        <v>5</v>
      </c>
      <c r="I356">
        <v>43</v>
      </c>
      <c r="J356" t="s">
        <v>17</v>
      </c>
      <c r="K356">
        <v>3.6</v>
      </c>
      <c r="L356">
        <v>43.7</v>
      </c>
      <c r="M356" t="s">
        <v>18</v>
      </c>
      <c r="N356">
        <f>AVERAGEIF(Raw_Data!A:A, Raw_Data!A356, Raw_Data!D:D)</f>
        <v>7.0823529411764703</v>
      </c>
      <c r="O356" t="str">
        <f t="shared" si="5"/>
        <v>Medium Solar</v>
      </c>
    </row>
    <row r="357" spans="1:15">
      <c r="A357" t="s">
        <v>33</v>
      </c>
      <c r="B357">
        <v>10.5</v>
      </c>
      <c r="C357">
        <v>4041</v>
      </c>
      <c r="D357">
        <v>8.1</v>
      </c>
      <c r="E357" t="s">
        <v>20</v>
      </c>
      <c r="F357">
        <v>34</v>
      </c>
      <c r="G357">
        <v>73</v>
      </c>
      <c r="H357">
        <v>7</v>
      </c>
      <c r="I357">
        <v>21.5</v>
      </c>
      <c r="J357" t="s">
        <v>17</v>
      </c>
      <c r="K357">
        <v>3.5</v>
      </c>
      <c r="L357">
        <v>42.5</v>
      </c>
      <c r="M357" t="s">
        <v>17</v>
      </c>
      <c r="N357">
        <f>AVERAGEIF(Raw_Data!A:A, Raw_Data!A357, Raw_Data!D:D)</f>
        <v>7.1129032258064528</v>
      </c>
      <c r="O357" t="str">
        <f t="shared" si="5"/>
        <v>High Solar</v>
      </c>
    </row>
    <row r="358" spans="1:15">
      <c r="A358" t="s">
        <v>19</v>
      </c>
      <c r="B358">
        <v>4.4000000000000004</v>
      </c>
      <c r="C358">
        <v>409</v>
      </c>
      <c r="D358">
        <v>8.1</v>
      </c>
      <c r="E358" t="s">
        <v>23</v>
      </c>
      <c r="F358">
        <v>34</v>
      </c>
      <c r="G358">
        <v>58</v>
      </c>
      <c r="H358">
        <v>5</v>
      </c>
      <c r="I358">
        <v>40</v>
      </c>
      <c r="J358" t="s">
        <v>17</v>
      </c>
      <c r="K358">
        <v>1.5</v>
      </c>
      <c r="L358">
        <v>17.8</v>
      </c>
      <c r="M358" t="s">
        <v>18</v>
      </c>
      <c r="N358">
        <f>AVERAGEIF(Raw_Data!A:A, Raw_Data!A358, Raw_Data!D:D)</f>
        <v>6.8899999999999988</v>
      </c>
      <c r="O358" t="str">
        <f t="shared" si="5"/>
        <v>Medium Solar</v>
      </c>
    </row>
    <row r="359" spans="1:15">
      <c r="A359" t="s">
        <v>22</v>
      </c>
      <c r="B359">
        <v>3.3</v>
      </c>
      <c r="C359">
        <v>383</v>
      </c>
      <c r="D359">
        <v>4.5</v>
      </c>
      <c r="E359" t="s">
        <v>20</v>
      </c>
      <c r="F359">
        <v>30</v>
      </c>
      <c r="G359">
        <v>45</v>
      </c>
      <c r="H359">
        <v>4</v>
      </c>
      <c r="I359">
        <v>39.5</v>
      </c>
      <c r="J359" t="s">
        <v>18</v>
      </c>
      <c r="K359">
        <v>0.6</v>
      </c>
      <c r="L359">
        <v>7.4</v>
      </c>
      <c r="M359" t="s">
        <v>21</v>
      </c>
      <c r="N359">
        <f>AVERAGEIF(Raw_Data!A:A, Raw_Data!A359, Raw_Data!D:D)</f>
        <v>7.0051282051282051</v>
      </c>
      <c r="O359" t="str">
        <f t="shared" si="5"/>
        <v>Low Solar</v>
      </c>
    </row>
    <row r="360" spans="1:15">
      <c r="A360" t="s">
        <v>29</v>
      </c>
      <c r="B360">
        <v>22.3</v>
      </c>
      <c r="C360">
        <v>4710</v>
      </c>
      <c r="D360">
        <v>7.7</v>
      </c>
      <c r="E360" t="s">
        <v>20</v>
      </c>
      <c r="F360">
        <v>38</v>
      </c>
      <c r="G360">
        <v>95</v>
      </c>
      <c r="H360">
        <v>9</v>
      </c>
      <c r="I360">
        <v>6.5</v>
      </c>
      <c r="J360" t="s">
        <v>17</v>
      </c>
      <c r="K360">
        <v>7.2</v>
      </c>
      <c r="L360">
        <v>85.9</v>
      </c>
      <c r="M360" t="s">
        <v>17</v>
      </c>
      <c r="N360">
        <f>AVERAGEIF(Raw_Data!A:A, Raw_Data!A360, Raw_Data!D:D)</f>
        <v>7.0571428571428561</v>
      </c>
      <c r="O360" t="str">
        <f t="shared" si="5"/>
        <v>High Solar</v>
      </c>
    </row>
    <row r="361" spans="1:15">
      <c r="A361" t="s">
        <v>29</v>
      </c>
      <c r="B361">
        <v>8.8000000000000007</v>
      </c>
      <c r="C361">
        <v>1531</v>
      </c>
      <c r="D361">
        <v>5.7</v>
      </c>
      <c r="E361" t="s">
        <v>20</v>
      </c>
      <c r="F361">
        <v>31</v>
      </c>
      <c r="G361">
        <v>74</v>
      </c>
      <c r="H361">
        <v>5</v>
      </c>
      <c r="I361">
        <v>30</v>
      </c>
      <c r="J361" t="s">
        <v>18</v>
      </c>
      <c r="K361">
        <v>2.1</v>
      </c>
      <c r="L361">
        <v>25.1</v>
      </c>
      <c r="M361" t="s">
        <v>18</v>
      </c>
      <c r="N361">
        <f>AVERAGEIF(Raw_Data!A:A, Raw_Data!A361, Raw_Data!D:D)</f>
        <v>7.0571428571428561</v>
      </c>
      <c r="O361" t="str">
        <f t="shared" si="5"/>
        <v>High Solar</v>
      </c>
    </row>
    <row r="362" spans="1:15">
      <c r="A362" t="s">
        <v>31</v>
      </c>
      <c r="B362">
        <v>4.4000000000000004</v>
      </c>
      <c r="C362">
        <v>202</v>
      </c>
      <c r="D362">
        <v>7</v>
      </c>
      <c r="E362" t="s">
        <v>20</v>
      </c>
      <c r="F362">
        <v>40</v>
      </c>
      <c r="G362">
        <v>80</v>
      </c>
      <c r="H362">
        <v>5</v>
      </c>
      <c r="I362">
        <v>30</v>
      </c>
      <c r="J362" t="s">
        <v>17</v>
      </c>
      <c r="K362">
        <v>1.3</v>
      </c>
      <c r="L362">
        <v>15.4</v>
      </c>
      <c r="M362" t="s">
        <v>18</v>
      </c>
      <c r="N362">
        <f>AVERAGEIF(Raw_Data!A:A, Raw_Data!A362, Raw_Data!D:D)</f>
        <v>6.5849999999999991</v>
      </c>
      <c r="O362" t="str">
        <f t="shared" si="5"/>
        <v>High Solar</v>
      </c>
    </row>
    <row r="363" spans="1:15">
      <c r="A363" t="s">
        <v>31</v>
      </c>
      <c r="B363">
        <v>16.2</v>
      </c>
      <c r="C363">
        <v>2916</v>
      </c>
      <c r="D363">
        <v>8</v>
      </c>
      <c r="E363" t="s">
        <v>28</v>
      </c>
      <c r="F363">
        <v>40</v>
      </c>
      <c r="G363">
        <v>80</v>
      </c>
      <c r="H363">
        <v>8</v>
      </c>
      <c r="I363">
        <v>20</v>
      </c>
      <c r="J363" t="s">
        <v>17</v>
      </c>
      <c r="K363">
        <v>5.4</v>
      </c>
      <c r="L363">
        <v>64.8</v>
      </c>
      <c r="M363" t="s">
        <v>17</v>
      </c>
      <c r="N363">
        <f>AVERAGEIF(Raw_Data!A:A, Raw_Data!A363, Raw_Data!D:D)</f>
        <v>6.5849999999999991</v>
      </c>
      <c r="O363" t="str">
        <f t="shared" si="5"/>
        <v>High Solar</v>
      </c>
    </row>
    <row r="364" spans="1:15">
      <c r="A364" t="s">
        <v>15</v>
      </c>
      <c r="B364">
        <v>23.9</v>
      </c>
      <c r="C364">
        <v>4250</v>
      </c>
      <c r="D364">
        <v>7.3</v>
      </c>
      <c r="E364" t="s">
        <v>20</v>
      </c>
      <c r="F364">
        <v>42</v>
      </c>
      <c r="G364">
        <v>84</v>
      </c>
      <c r="H364">
        <v>6</v>
      </c>
      <c r="I364">
        <v>26</v>
      </c>
      <c r="J364" t="s">
        <v>17</v>
      </c>
      <c r="K364">
        <v>7.3</v>
      </c>
      <c r="L364">
        <v>87.2</v>
      </c>
      <c r="M364" t="s">
        <v>17</v>
      </c>
      <c r="N364">
        <f>AVERAGEIF(Raw_Data!A:A, Raw_Data!A364, Raw_Data!D:D)</f>
        <v>7.1264705882352937</v>
      </c>
      <c r="O364" t="str">
        <f t="shared" si="5"/>
        <v>High Solar</v>
      </c>
    </row>
    <row r="365" spans="1:15">
      <c r="A365" t="s">
        <v>33</v>
      </c>
      <c r="B365">
        <v>15.7</v>
      </c>
      <c r="C365">
        <v>4706</v>
      </c>
      <c r="D365">
        <v>7.2</v>
      </c>
      <c r="E365" t="s">
        <v>16</v>
      </c>
      <c r="F365">
        <v>28</v>
      </c>
      <c r="G365">
        <v>61</v>
      </c>
      <c r="H365">
        <v>8</v>
      </c>
      <c r="I365">
        <v>32.5</v>
      </c>
      <c r="J365" t="s">
        <v>17</v>
      </c>
      <c r="K365">
        <v>4.7</v>
      </c>
      <c r="L365">
        <v>56.5</v>
      </c>
      <c r="M365" t="s">
        <v>18</v>
      </c>
      <c r="N365">
        <f>AVERAGEIF(Raw_Data!A:A, Raw_Data!A365, Raw_Data!D:D)</f>
        <v>7.1129032258064528</v>
      </c>
      <c r="O365" t="str">
        <f t="shared" si="5"/>
        <v>Medium Solar</v>
      </c>
    </row>
    <row r="366" spans="1:15">
      <c r="A366" t="s">
        <v>30</v>
      </c>
      <c r="B366">
        <v>13.6</v>
      </c>
      <c r="C366">
        <v>2226</v>
      </c>
      <c r="D366">
        <v>7.7</v>
      </c>
      <c r="E366" t="s">
        <v>23</v>
      </c>
      <c r="F366">
        <v>38</v>
      </c>
      <c r="G366">
        <v>71</v>
      </c>
      <c r="H366">
        <v>7</v>
      </c>
      <c r="I366">
        <v>24.5</v>
      </c>
      <c r="J366" t="s">
        <v>17</v>
      </c>
      <c r="K366">
        <v>4.4000000000000004</v>
      </c>
      <c r="L366">
        <v>52.4</v>
      </c>
      <c r="M366" t="s">
        <v>17</v>
      </c>
      <c r="N366">
        <f>AVERAGEIF(Raw_Data!A:A, Raw_Data!A366, Raw_Data!D:D)</f>
        <v>7</v>
      </c>
      <c r="O366" t="str">
        <f t="shared" si="5"/>
        <v>High Solar</v>
      </c>
    </row>
    <row r="367" spans="1:15">
      <c r="A367" t="s">
        <v>15</v>
      </c>
      <c r="B367">
        <v>11.8</v>
      </c>
      <c r="C367">
        <v>3672</v>
      </c>
      <c r="D367">
        <v>10.3</v>
      </c>
      <c r="E367" t="s">
        <v>20</v>
      </c>
      <c r="F367">
        <v>42</v>
      </c>
      <c r="G367">
        <v>70</v>
      </c>
      <c r="H367">
        <v>6</v>
      </c>
      <c r="I367">
        <v>32</v>
      </c>
      <c r="J367" t="s">
        <v>32</v>
      </c>
      <c r="K367">
        <v>5.0999999999999996</v>
      </c>
      <c r="L367">
        <v>60.8</v>
      </c>
      <c r="M367" t="s">
        <v>18</v>
      </c>
      <c r="N367">
        <f>AVERAGEIF(Raw_Data!A:A, Raw_Data!A367, Raw_Data!D:D)</f>
        <v>7.1264705882352937</v>
      </c>
      <c r="O367" t="str">
        <f t="shared" si="5"/>
        <v>Medium Solar</v>
      </c>
    </row>
    <row r="368" spans="1:15">
      <c r="A368" t="s">
        <v>36</v>
      </c>
      <c r="B368">
        <v>22.9</v>
      </c>
      <c r="C368">
        <v>4757</v>
      </c>
      <c r="D368">
        <v>5.6</v>
      </c>
      <c r="E368" t="s">
        <v>16</v>
      </c>
      <c r="F368">
        <v>37</v>
      </c>
      <c r="G368">
        <v>76</v>
      </c>
      <c r="H368">
        <v>6</v>
      </c>
      <c r="I368">
        <v>24</v>
      </c>
      <c r="J368" t="s">
        <v>18</v>
      </c>
      <c r="K368">
        <v>5.3</v>
      </c>
      <c r="L368">
        <v>64.099999999999994</v>
      </c>
      <c r="M368" t="s">
        <v>17</v>
      </c>
      <c r="N368">
        <f>AVERAGEIF(Raw_Data!A:A, Raw_Data!A368, Raw_Data!D:D)</f>
        <v>7.5260869565217385</v>
      </c>
      <c r="O368" t="str">
        <f t="shared" si="5"/>
        <v>High Solar</v>
      </c>
    </row>
    <row r="369" spans="1:15">
      <c r="A369" t="s">
        <v>33</v>
      </c>
      <c r="B369">
        <v>18.899999999999999</v>
      </c>
      <c r="C369">
        <v>4765</v>
      </c>
      <c r="D369">
        <v>8.4</v>
      </c>
      <c r="E369" t="s">
        <v>20</v>
      </c>
      <c r="F369">
        <v>29</v>
      </c>
      <c r="G369">
        <v>52</v>
      </c>
      <c r="H369">
        <v>7</v>
      </c>
      <c r="I369">
        <v>33</v>
      </c>
      <c r="J369" t="s">
        <v>17</v>
      </c>
      <c r="K369">
        <v>6.6</v>
      </c>
      <c r="L369">
        <v>79.400000000000006</v>
      </c>
      <c r="M369" t="s">
        <v>18</v>
      </c>
      <c r="N369">
        <f>AVERAGEIF(Raw_Data!A:A, Raw_Data!A369, Raw_Data!D:D)</f>
        <v>7.1129032258064528</v>
      </c>
      <c r="O369" t="str">
        <f t="shared" si="5"/>
        <v>Medium Solar</v>
      </c>
    </row>
    <row r="370" spans="1:15">
      <c r="A370" t="s">
        <v>27</v>
      </c>
      <c r="B370">
        <v>4.5</v>
      </c>
      <c r="C370">
        <v>669</v>
      </c>
      <c r="D370">
        <v>6.4</v>
      </c>
      <c r="E370" t="s">
        <v>20</v>
      </c>
      <c r="F370">
        <v>29</v>
      </c>
      <c r="G370">
        <v>38</v>
      </c>
      <c r="H370">
        <v>3</v>
      </c>
      <c r="I370">
        <v>46</v>
      </c>
      <c r="J370" t="s">
        <v>17</v>
      </c>
      <c r="K370">
        <v>1.2</v>
      </c>
      <c r="L370">
        <v>14.4</v>
      </c>
      <c r="M370" t="s">
        <v>21</v>
      </c>
      <c r="N370">
        <f>AVERAGEIF(Raw_Data!A:A, Raw_Data!A370, Raw_Data!D:D)</f>
        <v>6.8347826086956527</v>
      </c>
      <c r="O370" t="str">
        <f t="shared" si="5"/>
        <v>Low Solar</v>
      </c>
    </row>
    <row r="371" spans="1:15">
      <c r="A371" t="s">
        <v>26</v>
      </c>
      <c r="B371">
        <v>14.6</v>
      </c>
      <c r="C371">
        <v>4874</v>
      </c>
      <c r="D371">
        <v>6</v>
      </c>
      <c r="E371" t="s">
        <v>23</v>
      </c>
      <c r="F371">
        <v>33</v>
      </c>
      <c r="G371">
        <v>62</v>
      </c>
      <c r="H371">
        <v>8</v>
      </c>
      <c r="I371">
        <v>31</v>
      </c>
      <c r="J371" t="s">
        <v>18</v>
      </c>
      <c r="K371">
        <v>3.7</v>
      </c>
      <c r="L371">
        <v>43.8</v>
      </c>
      <c r="M371" t="s">
        <v>18</v>
      </c>
      <c r="N371">
        <f>AVERAGEIF(Raw_Data!A:A, Raw_Data!A371, Raw_Data!D:D)</f>
        <v>6.9771428571428586</v>
      </c>
      <c r="O371" t="str">
        <f t="shared" si="5"/>
        <v>Medium Solar</v>
      </c>
    </row>
    <row r="372" spans="1:15">
      <c r="A372" t="s">
        <v>15</v>
      </c>
      <c r="B372">
        <v>18.3</v>
      </c>
      <c r="C372">
        <v>3548</v>
      </c>
      <c r="D372">
        <v>8.1</v>
      </c>
      <c r="E372" t="s">
        <v>20</v>
      </c>
      <c r="F372">
        <v>34</v>
      </c>
      <c r="G372">
        <v>62</v>
      </c>
      <c r="H372">
        <v>8</v>
      </c>
      <c r="I372">
        <v>26</v>
      </c>
      <c r="J372" t="s">
        <v>17</v>
      </c>
      <c r="K372">
        <v>6.2</v>
      </c>
      <c r="L372">
        <v>74.099999999999994</v>
      </c>
      <c r="M372" t="s">
        <v>18</v>
      </c>
      <c r="N372">
        <f>AVERAGEIF(Raw_Data!A:A, Raw_Data!A372, Raw_Data!D:D)</f>
        <v>7.1264705882352937</v>
      </c>
      <c r="O372" t="str">
        <f t="shared" si="5"/>
        <v>Medium Solar</v>
      </c>
    </row>
    <row r="373" spans="1:15">
      <c r="A373" t="s">
        <v>19</v>
      </c>
      <c r="B373">
        <v>18.2</v>
      </c>
      <c r="C373">
        <v>3146</v>
      </c>
      <c r="D373">
        <v>9.6</v>
      </c>
      <c r="E373" t="s">
        <v>16</v>
      </c>
      <c r="F373">
        <v>37</v>
      </c>
      <c r="G373">
        <v>81</v>
      </c>
      <c r="H373">
        <v>8</v>
      </c>
      <c r="I373">
        <v>15.5</v>
      </c>
      <c r="J373" t="s">
        <v>17</v>
      </c>
      <c r="K373">
        <v>7.3</v>
      </c>
      <c r="L373">
        <v>87.4</v>
      </c>
      <c r="M373" t="s">
        <v>17</v>
      </c>
      <c r="N373">
        <f>AVERAGEIF(Raw_Data!A:A, Raw_Data!A373, Raw_Data!D:D)</f>
        <v>6.8899999999999988</v>
      </c>
      <c r="O373" t="str">
        <f t="shared" si="5"/>
        <v>High Solar</v>
      </c>
    </row>
    <row r="374" spans="1:15">
      <c r="A374" t="s">
        <v>30</v>
      </c>
      <c r="B374">
        <v>8.6</v>
      </c>
      <c r="C374">
        <v>1562</v>
      </c>
      <c r="D374">
        <v>5.3</v>
      </c>
      <c r="E374" t="s">
        <v>20</v>
      </c>
      <c r="F374">
        <v>35</v>
      </c>
      <c r="G374">
        <v>77</v>
      </c>
      <c r="H374">
        <v>6</v>
      </c>
      <c r="I374">
        <v>24.5</v>
      </c>
      <c r="J374" t="s">
        <v>18</v>
      </c>
      <c r="K374">
        <v>1.9</v>
      </c>
      <c r="L374">
        <v>22.8</v>
      </c>
      <c r="M374" t="s">
        <v>17</v>
      </c>
      <c r="N374">
        <f>AVERAGEIF(Raw_Data!A:A, Raw_Data!A374, Raw_Data!D:D)</f>
        <v>7</v>
      </c>
      <c r="O374" t="str">
        <f t="shared" si="5"/>
        <v>High Solar</v>
      </c>
    </row>
    <row r="375" spans="1:15">
      <c r="A375" t="s">
        <v>29</v>
      </c>
      <c r="B375">
        <v>1.2</v>
      </c>
      <c r="C375">
        <v>572</v>
      </c>
      <c r="D375">
        <v>5.7</v>
      </c>
      <c r="E375" t="s">
        <v>20</v>
      </c>
      <c r="F375">
        <v>31</v>
      </c>
      <c r="G375">
        <v>51</v>
      </c>
      <c r="H375">
        <v>5</v>
      </c>
      <c r="I375">
        <v>35.5</v>
      </c>
      <c r="J375" t="s">
        <v>18</v>
      </c>
      <c r="K375">
        <v>0.3</v>
      </c>
      <c r="L375">
        <v>3.4</v>
      </c>
      <c r="M375" t="s">
        <v>18</v>
      </c>
      <c r="N375">
        <f>AVERAGEIF(Raw_Data!A:A, Raw_Data!A375, Raw_Data!D:D)</f>
        <v>7.0571428571428561</v>
      </c>
      <c r="O375" t="str">
        <f t="shared" si="5"/>
        <v>Medium Solar</v>
      </c>
    </row>
    <row r="376" spans="1:15">
      <c r="A376" t="s">
        <v>22</v>
      </c>
      <c r="B376">
        <v>17.8</v>
      </c>
      <c r="C376">
        <v>2728</v>
      </c>
      <c r="D376">
        <v>5.8</v>
      </c>
      <c r="E376" t="s">
        <v>28</v>
      </c>
      <c r="F376">
        <v>25</v>
      </c>
      <c r="G376">
        <v>30</v>
      </c>
      <c r="H376">
        <v>8</v>
      </c>
      <c r="I376">
        <v>43</v>
      </c>
      <c r="J376" t="s">
        <v>18</v>
      </c>
      <c r="K376">
        <v>4.3</v>
      </c>
      <c r="L376">
        <v>51.6</v>
      </c>
      <c r="M376" t="s">
        <v>21</v>
      </c>
      <c r="N376">
        <f>AVERAGEIF(Raw_Data!A:A, Raw_Data!A376, Raw_Data!D:D)</f>
        <v>7.0051282051282051</v>
      </c>
      <c r="O376" t="str">
        <f t="shared" si="5"/>
        <v>Low Solar</v>
      </c>
    </row>
    <row r="377" spans="1:15">
      <c r="A377" t="s">
        <v>37</v>
      </c>
      <c r="B377">
        <v>10.199999999999999</v>
      </c>
      <c r="C377">
        <v>4452</v>
      </c>
      <c r="D377">
        <v>7.8</v>
      </c>
      <c r="E377" t="s">
        <v>28</v>
      </c>
      <c r="F377">
        <v>45</v>
      </c>
      <c r="G377">
        <v>95</v>
      </c>
      <c r="H377">
        <v>7</v>
      </c>
      <c r="I377">
        <v>18.5</v>
      </c>
      <c r="J377" t="s">
        <v>17</v>
      </c>
      <c r="K377">
        <v>3.3</v>
      </c>
      <c r="L377">
        <v>39.799999999999997</v>
      </c>
      <c r="M377" t="s">
        <v>17</v>
      </c>
      <c r="N377">
        <f>AVERAGEIF(Raw_Data!A:A, Raw_Data!A377, Raw_Data!D:D)</f>
        <v>6.7384615384615376</v>
      </c>
      <c r="O377" t="str">
        <f t="shared" si="5"/>
        <v>High Solar</v>
      </c>
    </row>
    <row r="378" spans="1:15">
      <c r="A378" t="s">
        <v>24</v>
      </c>
      <c r="B378">
        <v>9.1999999999999993</v>
      </c>
      <c r="C378">
        <v>843</v>
      </c>
      <c r="D378">
        <v>8.3000000000000007</v>
      </c>
      <c r="E378" t="s">
        <v>16</v>
      </c>
      <c r="F378">
        <v>42</v>
      </c>
      <c r="G378">
        <v>71</v>
      </c>
      <c r="H378">
        <v>7</v>
      </c>
      <c r="I378">
        <v>30.5</v>
      </c>
      <c r="J378" t="s">
        <v>17</v>
      </c>
      <c r="K378">
        <v>3.2</v>
      </c>
      <c r="L378">
        <v>38.200000000000003</v>
      </c>
      <c r="M378" t="s">
        <v>17</v>
      </c>
      <c r="N378">
        <f>AVERAGEIF(Raw_Data!A:A, Raw_Data!A378, Raw_Data!D:D)</f>
        <v>7.0352941176470587</v>
      </c>
      <c r="O378" t="str">
        <f t="shared" si="5"/>
        <v>High Solar</v>
      </c>
    </row>
    <row r="379" spans="1:15">
      <c r="A379" t="s">
        <v>19</v>
      </c>
      <c r="B379">
        <v>16.7</v>
      </c>
      <c r="C379">
        <v>2705</v>
      </c>
      <c r="D379">
        <v>7.8</v>
      </c>
      <c r="E379" t="s">
        <v>20</v>
      </c>
      <c r="F379">
        <v>32</v>
      </c>
      <c r="G379">
        <v>50</v>
      </c>
      <c r="H379">
        <v>7</v>
      </c>
      <c r="I379">
        <v>35</v>
      </c>
      <c r="J379" t="s">
        <v>17</v>
      </c>
      <c r="K379">
        <v>5.4</v>
      </c>
      <c r="L379">
        <v>65.099999999999994</v>
      </c>
      <c r="M379" t="s">
        <v>21</v>
      </c>
      <c r="N379">
        <f>AVERAGEIF(Raw_Data!A:A, Raw_Data!A379, Raw_Data!D:D)</f>
        <v>6.8899999999999988</v>
      </c>
      <c r="O379" t="str">
        <f t="shared" si="5"/>
        <v>Medium Solar</v>
      </c>
    </row>
    <row r="380" spans="1:15">
      <c r="A380" t="s">
        <v>22</v>
      </c>
      <c r="B380">
        <v>9.4</v>
      </c>
      <c r="C380">
        <v>1664</v>
      </c>
      <c r="D380">
        <v>8.6</v>
      </c>
      <c r="E380" t="s">
        <v>28</v>
      </c>
      <c r="F380">
        <v>37</v>
      </c>
      <c r="G380">
        <v>72</v>
      </c>
      <c r="H380">
        <v>7</v>
      </c>
      <c r="I380">
        <v>26</v>
      </c>
      <c r="J380" t="s">
        <v>17</v>
      </c>
      <c r="K380">
        <v>3.4</v>
      </c>
      <c r="L380">
        <v>40.4</v>
      </c>
      <c r="M380" t="s">
        <v>17</v>
      </c>
      <c r="N380">
        <f>AVERAGEIF(Raw_Data!A:A, Raw_Data!A380, Raw_Data!D:D)</f>
        <v>7.0051282051282051</v>
      </c>
      <c r="O380" t="str">
        <f t="shared" si="5"/>
        <v>High Solar</v>
      </c>
    </row>
    <row r="381" spans="1:15">
      <c r="A381" t="s">
        <v>22</v>
      </c>
      <c r="B381">
        <v>6.4</v>
      </c>
      <c r="C381">
        <v>1355</v>
      </c>
      <c r="D381">
        <v>5</v>
      </c>
      <c r="E381" t="s">
        <v>20</v>
      </c>
      <c r="F381">
        <v>33</v>
      </c>
      <c r="G381">
        <v>80</v>
      </c>
      <c r="H381">
        <v>5</v>
      </c>
      <c r="I381">
        <v>21</v>
      </c>
      <c r="J381" t="s">
        <v>18</v>
      </c>
      <c r="K381">
        <v>1.3</v>
      </c>
      <c r="L381">
        <v>16</v>
      </c>
      <c r="M381" t="s">
        <v>18</v>
      </c>
      <c r="N381">
        <f>AVERAGEIF(Raw_Data!A:A, Raw_Data!A381, Raw_Data!D:D)</f>
        <v>7.0051282051282051</v>
      </c>
      <c r="O381" t="str">
        <f t="shared" si="5"/>
        <v>High Solar</v>
      </c>
    </row>
    <row r="382" spans="1:15">
      <c r="A382" t="s">
        <v>30</v>
      </c>
      <c r="B382">
        <v>24.8</v>
      </c>
      <c r="C382">
        <v>2456</v>
      </c>
      <c r="D382">
        <v>7.6</v>
      </c>
      <c r="E382" t="s">
        <v>23</v>
      </c>
      <c r="F382">
        <v>37</v>
      </c>
      <c r="G382">
        <v>71</v>
      </c>
      <c r="H382">
        <v>6</v>
      </c>
      <c r="I382">
        <v>27.5</v>
      </c>
      <c r="J382" t="s">
        <v>17</v>
      </c>
      <c r="K382">
        <v>7.9</v>
      </c>
      <c r="L382">
        <v>94.2</v>
      </c>
      <c r="M382" t="s">
        <v>17</v>
      </c>
      <c r="N382">
        <f>AVERAGEIF(Raw_Data!A:A, Raw_Data!A382, Raw_Data!D:D)</f>
        <v>7</v>
      </c>
      <c r="O382" t="str">
        <f t="shared" si="5"/>
        <v>High Solar</v>
      </c>
    </row>
    <row r="383" spans="1:15">
      <c r="A383" t="s">
        <v>27</v>
      </c>
      <c r="B383">
        <v>4.2</v>
      </c>
      <c r="C383">
        <v>710</v>
      </c>
      <c r="D383">
        <v>7.7</v>
      </c>
      <c r="E383" t="s">
        <v>16</v>
      </c>
      <c r="F383">
        <v>38</v>
      </c>
      <c r="G383">
        <v>84</v>
      </c>
      <c r="H383">
        <v>4</v>
      </c>
      <c r="I383">
        <v>29</v>
      </c>
      <c r="J383" t="s">
        <v>17</v>
      </c>
      <c r="K383">
        <v>1.3</v>
      </c>
      <c r="L383">
        <v>16.2</v>
      </c>
      <c r="M383" t="s">
        <v>18</v>
      </c>
      <c r="N383">
        <f>AVERAGEIF(Raw_Data!A:A, Raw_Data!A383, Raw_Data!D:D)</f>
        <v>6.8347826086956527</v>
      </c>
      <c r="O383" t="str">
        <f t="shared" si="5"/>
        <v>High Solar</v>
      </c>
    </row>
    <row r="384" spans="1:15">
      <c r="A384" t="s">
        <v>26</v>
      </c>
      <c r="B384">
        <v>16.899999999999999</v>
      </c>
      <c r="C384">
        <v>3206</v>
      </c>
      <c r="D384">
        <v>5.3</v>
      </c>
      <c r="E384" t="s">
        <v>23</v>
      </c>
      <c r="F384">
        <v>35</v>
      </c>
      <c r="G384">
        <v>69</v>
      </c>
      <c r="H384">
        <v>8</v>
      </c>
      <c r="I384">
        <v>25.5</v>
      </c>
      <c r="J384" t="s">
        <v>18</v>
      </c>
      <c r="K384">
        <v>3.7</v>
      </c>
      <c r="L384">
        <v>44.8</v>
      </c>
      <c r="M384" t="s">
        <v>18</v>
      </c>
      <c r="N384">
        <f>AVERAGEIF(Raw_Data!A:A, Raw_Data!A384, Raw_Data!D:D)</f>
        <v>6.9771428571428586</v>
      </c>
      <c r="O384" t="str">
        <f t="shared" si="5"/>
        <v>Medium Solar</v>
      </c>
    </row>
    <row r="385" spans="1:15">
      <c r="A385" t="s">
        <v>29</v>
      </c>
      <c r="B385">
        <v>19.3</v>
      </c>
      <c r="C385">
        <v>4156</v>
      </c>
      <c r="D385">
        <v>10.3</v>
      </c>
      <c r="E385" t="s">
        <v>20</v>
      </c>
      <c r="F385">
        <v>42</v>
      </c>
      <c r="G385">
        <v>79</v>
      </c>
      <c r="H385">
        <v>7</v>
      </c>
      <c r="I385">
        <v>21.5</v>
      </c>
      <c r="J385" t="s">
        <v>32</v>
      </c>
      <c r="K385">
        <v>8.3000000000000007</v>
      </c>
      <c r="L385">
        <v>99.4</v>
      </c>
      <c r="M385" t="s">
        <v>17</v>
      </c>
      <c r="N385">
        <f>AVERAGEIF(Raw_Data!A:A, Raw_Data!A385, Raw_Data!D:D)</f>
        <v>7.0571428571428561</v>
      </c>
      <c r="O385" t="str">
        <f t="shared" si="5"/>
        <v>High Solar</v>
      </c>
    </row>
    <row r="386" spans="1:15">
      <c r="A386" t="s">
        <v>22</v>
      </c>
      <c r="B386">
        <v>2.1</v>
      </c>
      <c r="C386">
        <v>488</v>
      </c>
      <c r="D386">
        <v>5.8</v>
      </c>
      <c r="E386" t="s">
        <v>16</v>
      </c>
      <c r="F386">
        <v>25</v>
      </c>
      <c r="G386">
        <v>62</v>
      </c>
      <c r="H386">
        <v>4</v>
      </c>
      <c r="I386">
        <v>38</v>
      </c>
      <c r="J386" t="s">
        <v>18</v>
      </c>
      <c r="K386">
        <v>0.5</v>
      </c>
      <c r="L386">
        <v>6.1</v>
      </c>
      <c r="M386" t="s">
        <v>18</v>
      </c>
      <c r="N386">
        <f>AVERAGEIF(Raw_Data!A:A, Raw_Data!A386, Raw_Data!D:D)</f>
        <v>7.0051282051282051</v>
      </c>
      <c r="O386" t="str">
        <f t="shared" ref="O386:O449" si="6">IF(G386&gt;70, "High Solar", IF(G386&lt;50, "Low Solar", "Medium Solar"))</f>
        <v>Medium Solar</v>
      </c>
    </row>
    <row r="387" spans="1:15">
      <c r="A387" t="s">
        <v>34</v>
      </c>
      <c r="B387">
        <v>5.5</v>
      </c>
      <c r="C387">
        <v>1487</v>
      </c>
      <c r="D387">
        <v>7.6</v>
      </c>
      <c r="E387" t="s">
        <v>23</v>
      </c>
      <c r="F387">
        <v>37</v>
      </c>
      <c r="G387">
        <v>94</v>
      </c>
      <c r="H387">
        <v>7</v>
      </c>
      <c r="I387">
        <v>18</v>
      </c>
      <c r="J387" t="s">
        <v>17</v>
      </c>
      <c r="K387">
        <v>1.7</v>
      </c>
      <c r="L387">
        <v>20.9</v>
      </c>
      <c r="M387" t="s">
        <v>17</v>
      </c>
      <c r="N387">
        <f>AVERAGEIF(Raw_Data!A:A, Raw_Data!A387, Raw_Data!D:D)</f>
        <v>7.4411764705882346</v>
      </c>
      <c r="O387" t="str">
        <f t="shared" si="6"/>
        <v>High Solar</v>
      </c>
    </row>
    <row r="388" spans="1:15">
      <c r="A388" t="s">
        <v>34</v>
      </c>
      <c r="B388">
        <v>23</v>
      </c>
      <c r="C388">
        <v>3625</v>
      </c>
      <c r="D388">
        <v>8.3000000000000007</v>
      </c>
      <c r="E388" t="s">
        <v>20</v>
      </c>
      <c r="F388">
        <v>35</v>
      </c>
      <c r="G388">
        <v>73</v>
      </c>
      <c r="H388">
        <v>6</v>
      </c>
      <c r="I388">
        <v>31.5</v>
      </c>
      <c r="J388" t="s">
        <v>17</v>
      </c>
      <c r="K388">
        <v>8</v>
      </c>
      <c r="L388">
        <v>95.5</v>
      </c>
      <c r="M388" t="s">
        <v>17</v>
      </c>
      <c r="N388">
        <f>AVERAGEIF(Raw_Data!A:A, Raw_Data!A388, Raw_Data!D:D)</f>
        <v>7.4411764705882346</v>
      </c>
      <c r="O388" t="str">
        <f t="shared" si="6"/>
        <v>High Solar</v>
      </c>
    </row>
    <row r="389" spans="1:15">
      <c r="A389" t="s">
        <v>26</v>
      </c>
      <c r="B389">
        <v>19.5</v>
      </c>
      <c r="C389">
        <v>4573</v>
      </c>
      <c r="D389">
        <v>6.6</v>
      </c>
      <c r="E389" t="s">
        <v>28</v>
      </c>
      <c r="F389">
        <v>37</v>
      </c>
      <c r="G389">
        <v>79</v>
      </c>
      <c r="H389">
        <v>6</v>
      </c>
      <c r="I389">
        <v>22.5</v>
      </c>
      <c r="J389" t="s">
        <v>17</v>
      </c>
      <c r="K389">
        <v>5.4</v>
      </c>
      <c r="L389">
        <v>64.400000000000006</v>
      </c>
      <c r="M389" t="s">
        <v>17</v>
      </c>
      <c r="N389">
        <f>AVERAGEIF(Raw_Data!A:A, Raw_Data!A389, Raw_Data!D:D)</f>
        <v>6.9771428571428586</v>
      </c>
      <c r="O389" t="str">
        <f t="shared" si="6"/>
        <v>High Solar</v>
      </c>
    </row>
    <row r="390" spans="1:15">
      <c r="A390" t="s">
        <v>37</v>
      </c>
      <c r="B390">
        <v>20.3</v>
      </c>
      <c r="C390">
        <v>2112</v>
      </c>
      <c r="D390">
        <v>6.3</v>
      </c>
      <c r="E390" t="s">
        <v>20</v>
      </c>
      <c r="F390">
        <v>42</v>
      </c>
      <c r="G390">
        <v>71</v>
      </c>
      <c r="H390">
        <v>9</v>
      </c>
      <c r="I390">
        <v>25.5</v>
      </c>
      <c r="J390" t="s">
        <v>17</v>
      </c>
      <c r="K390">
        <v>5.3</v>
      </c>
      <c r="L390">
        <v>63.9</v>
      </c>
      <c r="M390" t="s">
        <v>17</v>
      </c>
      <c r="N390">
        <f>AVERAGEIF(Raw_Data!A:A, Raw_Data!A390, Raw_Data!D:D)</f>
        <v>6.7384615384615376</v>
      </c>
      <c r="O390" t="str">
        <f t="shared" si="6"/>
        <v>High Solar</v>
      </c>
    </row>
    <row r="391" spans="1:15">
      <c r="A391" t="s">
        <v>30</v>
      </c>
      <c r="B391">
        <v>14.8</v>
      </c>
      <c r="C391">
        <v>3052</v>
      </c>
      <c r="D391">
        <v>4.4000000000000004</v>
      </c>
      <c r="E391" t="s">
        <v>23</v>
      </c>
      <c r="F391">
        <v>29</v>
      </c>
      <c r="G391">
        <v>58</v>
      </c>
      <c r="H391">
        <v>6</v>
      </c>
      <c r="I391">
        <v>39</v>
      </c>
      <c r="J391" t="s">
        <v>18</v>
      </c>
      <c r="K391">
        <v>2.7</v>
      </c>
      <c r="L391">
        <v>32.6</v>
      </c>
      <c r="M391" t="s">
        <v>18</v>
      </c>
      <c r="N391">
        <f>AVERAGEIF(Raw_Data!A:A, Raw_Data!A391, Raw_Data!D:D)</f>
        <v>7</v>
      </c>
      <c r="O391" t="str">
        <f t="shared" si="6"/>
        <v>Medium Solar</v>
      </c>
    </row>
    <row r="392" spans="1:15">
      <c r="A392" t="s">
        <v>27</v>
      </c>
      <c r="B392">
        <v>17.2</v>
      </c>
      <c r="C392">
        <v>2673</v>
      </c>
      <c r="D392">
        <v>6.8</v>
      </c>
      <c r="E392" t="s">
        <v>16</v>
      </c>
      <c r="F392">
        <v>25</v>
      </c>
      <c r="G392">
        <v>52</v>
      </c>
      <c r="H392">
        <v>6</v>
      </c>
      <c r="I392">
        <v>35</v>
      </c>
      <c r="J392" t="s">
        <v>17</v>
      </c>
      <c r="K392">
        <v>4.9000000000000004</v>
      </c>
      <c r="L392">
        <v>58.5</v>
      </c>
      <c r="M392" t="s">
        <v>18</v>
      </c>
      <c r="N392">
        <f>AVERAGEIF(Raw_Data!A:A, Raw_Data!A392, Raw_Data!D:D)</f>
        <v>6.8347826086956527</v>
      </c>
      <c r="O392" t="str">
        <f t="shared" si="6"/>
        <v>Medium Solar</v>
      </c>
    </row>
    <row r="393" spans="1:15">
      <c r="A393" t="s">
        <v>27</v>
      </c>
      <c r="B393">
        <v>5.5</v>
      </c>
      <c r="C393">
        <v>1402</v>
      </c>
      <c r="D393">
        <v>9.1</v>
      </c>
      <c r="E393" t="s">
        <v>23</v>
      </c>
      <c r="F393">
        <v>34</v>
      </c>
      <c r="G393">
        <v>80</v>
      </c>
      <c r="H393">
        <v>4</v>
      </c>
      <c r="I393">
        <v>30</v>
      </c>
      <c r="J393" t="s">
        <v>17</v>
      </c>
      <c r="K393">
        <v>2.1</v>
      </c>
      <c r="L393">
        <v>25</v>
      </c>
      <c r="M393" t="s">
        <v>18</v>
      </c>
      <c r="N393">
        <f>AVERAGEIF(Raw_Data!A:A, Raw_Data!A393, Raw_Data!D:D)</f>
        <v>6.8347826086956527</v>
      </c>
      <c r="O393" t="str">
        <f t="shared" si="6"/>
        <v>High Solar</v>
      </c>
    </row>
    <row r="394" spans="1:15">
      <c r="A394" t="s">
        <v>27</v>
      </c>
      <c r="B394">
        <v>12.4</v>
      </c>
      <c r="C394">
        <v>3525</v>
      </c>
      <c r="D394">
        <v>4.7</v>
      </c>
      <c r="E394" t="s">
        <v>28</v>
      </c>
      <c r="F394">
        <v>31</v>
      </c>
      <c r="G394">
        <v>78</v>
      </c>
      <c r="H394">
        <v>8</v>
      </c>
      <c r="I394">
        <v>23</v>
      </c>
      <c r="J394" t="s">
        <v>18</v>
      </c>
      <c r="K394">
        <v>2.4</v>
      </c>
      <c r="L394">
        <v>29.1</v>
      </c>
      <c r="M394" t="s">
        <v>17</v>
      </c>
      <c r="N394">
        <f>AVERAGEIF(Raw_Data!A:A, Raw_Data!A394, Raw_Data!D:D)</f>
        <v>6.8347826086956527</v>
      </c>
      <c r="O394" t="str">
        <f t="shared" si="6"/>
        <v>High Solar</v>
      </c>
    </row>
    <row r="395" spans="1:15">
      <c r="A395" t="s">
        <v>33</v>
      </c>
      <c r="B395">
        <v>18.3</v>
      </c>
      <c r="C395">
        <v>2557</v>
      </c>
      <c r="D395">
        <v>7.1</v>
      </c>
      <c r="E395" t="s">
        <v>23</v>
      </c>
      <c r="F395">
        <v>27</v>
      </c>
      <c r="G395">
        <v>42</v>
      </c>
      <c r="H395">
        <v>8</v>
      </c>
      <c r="I395">
        <v>35</v>
      </c>
      <c r="J395" t="s">
        <v>17</v>
      </c>
      <c r="K395">
        <v>5.4</v>
      </c>
      <c r="L395">
        <v>65</v>
      </c>
      <c r="M395" t="s">
        <v>21</v>
      </c>
      <c r="N395">
        <f>AVERAGEIF(Raw_Data!A:A, Raw_Data!A395, Raw_Data!D:D)</f>
        <v>7.1129032258064528</v>
      </c>
      <c r="O395" t="str">
        <f t="shared" si="6"/>
        <v>Low Solar</v>
      </c>
    </row>
    <row r="396" spans="1:15">
      <c r="A396" t="s">
        <v>22</v>
      </c>
      <c r="B396">
        <v>14.5</v>
      </c>
      <c r="C396">
        <v>4125</v>
      </c>
      <c r="D396">
        <v>8.3000000000000007</v>
      </c>
      <c r="E396" t="s">
        <v>20</v>
      </c>
      <c r="F396">
        <v>35</v>
      </c>
      <c r="G396">
        <v>76</v>
      </c>
      <c r="H396">
        <v>7</v>
      </c>
      <c r="I396">
        <v>25</v>
      </c>
      <c r="J396" t="s">
        <v>17</v>
      </c>
      <c r="K396">
        <v>5</v>
      </c>
      <c r="L396">
        <v>60.2</v>
      </c>
      <c r="M396" t="s">
        <v>17</v>
      </c>
      <c r="N396">
        <f>AVERAGEIF(Raw_Data!A:A, Raw_Data!A396, Raw_Data!D:D)</f>
        <v>7.0051282051282051</v>
      </c>
      <c r="O396" t="str">
        <f t="shared" si="6"/>
        <v>High Solar</v>
      </c>
    </row>
    <row r="397" spans="1:15">
      <c r="A397" t="s">
        <v>36</v>
      </c>
      <c r="B397">
        <v>16.100000000000001</v>
      </c>
      <c r="C397">
        <v>3938</v>
      </c>
      <c r="D397">
        <v>5.7</v>
      </c>
      <c r="E397" t="s">
        <v>20</v>
      </c>
      <c r="F397">
        <v>38</v>
      </c>
      <c r="G397">
        <v>79</v>
      </c>
      <c r="H397">
        <v>7</v>
      </c>
      <c r="I397">
        <v>24.5</v>
      </c>
      <c r="J397" t="s">
        <v>18</v>
      </c>
      <c r="K397">
        <v>3.8</v>
      </c>
      <c r="L397">
        <v>45.9</v>
      </c>
      <c r="M397" t="s">
        <v>17</v>
      </c>
      <c r="N397">
        <f>AVERAGEIF(Raw_Data!A:A, Raw_Data!A397, Raw_Data!D:D)</f>
        <v>7.5260869565217385</v>
      </c>
      <c r="O397" t="str">
        <f t="shared" si="6"/>
        <v>High Solar</v>
      </c>
    </row>
    <row r="398" spans="1:15">
      <c r="A398" t="s">
        <v>22</v>
      </c>
      <c r="B398">
        <v>20.3</v>
      </c>
      <c r="C398">
        <v>2926</v>
      </c>
      <c r="D398">
        <v>8.6999999999999993</v>
      </c>
      <c r="E398" t="s">
        <v>20</v>
      </c>
      <c r="F398">
        <v>38</v>
      </c>
      <c r="G398">
        <v>76</v>
      </c>
      <c r="H398">
        <v>6</v>
      </c>
      <c r="I398">
        <v>24</v>
      </c>
      <c r="J398" t="s">
        <v>17</v>
      </c>
      <c r="K398">
        <v>7.4</v>
      </c>
      <c r="L398">
        <v>88.3</v>
      </c>
      <c r="M398" t="s">
        <v>17</v>
      </c>
      <c r="N398">
        <f>AVERAGEIF(Raw_Data!A:A, Raw_Data!A398, Raw_Data!D:D)</f>
        <v>7.0051282051282051</v>
      </c>
      <c r="O398" t="str">
        <f t="shared" si="6"/>
        <v>High Solar</v>
      </c>
    </row>
    <row r="399" spans="1:15">
      <c r="A399" t="s">
        <v>24</v>
      </c>
      <c r="B399">
        <v>7.9</v>
      </c>
      <c r="C399">
        <v>1380</v>
      </c>
      <c r="D399">
        <v>6.1</v>
      </c>
      <c r="E399" t="s">
        <v>20</v>
      </c>
      <c r="F399">
        <v>27</v>
      </c>
      <c r="G399">
        <v>58</v>
      </c>
      <c r="H399">
        <v>4</v>
      </c>
      <c r="I399">
        <v>39</v>
      </c>
      <c r="J399" t="s">
        <v>17</v>
      </c>
      <c r="K399">
        <v>2</v>
      </c>
      <c r="L399">
        <v>24.1</v>
      </c>
      <c r="M399" t="s">
        <v>18</v>
      </c>
      <c r="N399">
        <f>AVERAGEIF(Raw_Data!A:A, Raw_Data!A399, Raw_Data!D:D)</f>
        <v>7.0352941176470587</v>
      </c>
      <c r="O399" t="str">
        <f t="shared" si="6"/>
        <v>Medium Solar</v>
      </c>
    </row>
    <row r="400" spans="1:15">
      <c r="A400" t="s">
        <v>19</v>
      </c>
      <c r="B400">
        <v>8.4</v>
      </c>
      <c r="C400">
        <v>1660</v>
      </c>
      <c r="D400">
        <v>5.7</v>
      </c>
      <c r="E400" t="s">
        <v>20</v>
      </c>
      <c r="F400">
        <v>38</v>
      </c>
      <c r="G400">
        <v>87</v>
      </c>
      <c r="H400">
        <v>7</v>
      </c>
      <c r="I400">
        <v>13.5</v>
      </c>
      <c r="J400" t="s">
        <v>18</v>
      </c>
      <c r="K400">
        <v>2</v>
      </c>
      <c r="L400">
        <v>23.9</v>
      </c>
      <c r="M400" t="s">
        <v>17</v>
      </c>
      <c r="N400">
        <f>AVERAGEIF(Raw_Data!A:A, Raw_Data!A400, Raw_Data!D:D)</f>
        <v>6.8899999999999988</v>
      </c>
      <c r="O400" t="str">
        <f t="shared" si="6"/>
        <v>High Solar</v>
      </c>
    </row>
    <row r="401" spans="1:15">
      <c r="A401" t="s">
        <v>36</v>
      </c>
      <c r="B401">
        <v>24.3</v>
      </c>
      <c r="C401">
        <v>2421</v>
      </c>
      <c r="D401">
        <v>7.8</v>
      </c>
      <c r="E401" t="s">
        <v>20</v>
      </c>
      <c r="F401">
        <v>25</v>
      </c>
      <c r="G401">
        <v>53</v>
      </c>
      <c r="H401">
        <v>7</v>
      </c>
      <c r="I401">
        <v>39.5</v>
      </c>
      <c r="J401" t="s">
        <v>17</v>
      </c>
      <c r="K401">
        <v>7.9</v>
      </c>
      <c r="L401">
        <v>94.8</v>
      </c>
      <c r="M401" t="s">
        <v>18</v>
      </c>
      <c r="N401">
        <f>AVERAGEIF(Raw_Data!A:A, Raw_Data!A401, Raw_Data!D:D)</f>
        <v>7.5260869565217385</v>
      </c>
      <c r="O401" t="str">
        <f t="shared" si="6"/>
        <v>Medium Solar</v>
      </c>
    </row>
    <row r="402" spans="1:15">
      <c r="A402" t="s">
        <v>27</v>
      </c>
      <c r="B402">
        <v>7.4</v>
      </c>
      <c r="C402">
        <v>1839</v>
      </c>
      <c r="D402">
        <v>5.3</v>
      </c>
      <c r="E402" t="s">
        <v>23</v>
      </c>
      <c r="F402">
        <v>35</v>
      </c>
      <c r="G402">
        <v>66</v>
      </c>
      <c r="H402">
        <v>7</v>
      </c>
      <c r="I402">
        <v>28</v>
      </c>
      <c r="J402" t="s">
        <v>18</v>
      </c>
      <c r="K402">
        <v>1.6</v>
      </c>
      <c r="L402">
        <v>19.600000000000001</v>
      </c>
      <c r="M402" t="s">
        <v>18</v>
      </c>
      <c r="N402">
        <f>AVERAGEIF(Raw_Data!A:A, Raw_Data!A402, Raw_Data!D:D)</f>
        <v>6.8347826086956527</v>
      </c>
      <c r="O402" t="str">
        <f t="shared" si="6"/>
        <v>Medium Solar</v>
      </c>
    </row>
    <row r="403" spans="1:15">
      <c r="A403" t="s">
        <v>35</v>
      </c>
      <c r="B403">
        <v>1.2</v>
      </c>
      <c r="C403">
        <v>732</v>
      </c>
      <c r="D403">
        <v>3.8</v>
      </c>
      <c r="E403" t="s">
        <v>20</v>
      </c>
      <c r="F403">
        <v>25</v>
      </c>
      <c r="G403">
        <v>61</v>
      </c>
      <c r="H403">
        <v>3</v>
      </c>
      <c r="I403">
        <v>34.5</v>
      </c>
      <c r="J403" t="s">
        <v>21</v>
      </c>
      <c r="K403">
        <v>0.2</v>
      </c>
      <c r="L403">
        <v>2.2999999999999998</v>
      </c>
      <c r="M403" t="s">
        <v>18</v>
      </c>
      <c r="N403">
        <f>AVERAGEIF(Raw_Data!A:A, Raw_Data!A403, Raw_Data!D:D)</f>
        <v>7.4206896551724144</v>
      </c>
      <c r="O403" t="str">
        <f t="shared" si="6"/>
        <v>Medium Solar</v>
      </c>
    </row>
    <row r="404" spans="1:15">
      <c r="A404" t="s">
        <v>36</v>
      </c>
      <c r="B404">
        <v>21.5</v>
      </c>
      <c r="C404">
        <v>4070</v>
      </c>
      <c r="D404">
        <v>5.5</v>
      </c>
      <c r="E404" t="s">
        <v>20</v>
      </c>
      <c r="F404">
        <v>30</v>
      </c>
      <c r="G404">
        <v>58</v>
      </c>
      <c r="H404">
        <v>8</v>
      </c>
      <c r="I404">
        <v>29</v>
      </c>
      <c r="J404" t="s">
        <v>18</v>
      </c>
      <c r="K404">
        <v>4.9000000000000004</v>
      </c>
      <c r="L404">
        <v>59.1</v>
      </c>
      <c r="M404" t="s">
        <v>18</v>
      </c>
      <c r="N404">
        <f>AVERAGEIF(Raw_Data!A:A, Raw_Data!A404, Raw_Data!D:D)</f>
        <v>7.5260869565217385</v>
      </c>
      <c r="O404" t="str">
        <f t="shared" si="6"/>
        <v>Medium Solar</v>
      </c>
    </row>
    <row r="405" spans="1:15">
      <c r="A405" t="s">
        <v>30</v>
      </c>
      <c r="B405">
        <v>23.3</v>
      </c>
      <c r="C405">
        <v>4575</v>
      </c>
      <c r="D405">
        <v>7.8</v>
      </c>
      <c r="E405" t="s">
        <v>23</v>
      </c>
      <c r="F405">
        <v>25</v>
      </c>
      <c r="G405">
        <v>50</v>
      </c>
      <c r="H405">
        <v>7</v>
      </c>
      <c r="I405">
        <v>31</v>
      </c>
      <c r="J405" t="s">
        <v>17</v>
      </c>
      <c r="K405">
        <v>7.6</v>
      </c>
      <c r="L405">
        <v>90.9</v>
      </c>
      <c r="M405" t="s">
        <v>21</v>
      </c>
      <c r="N405">
        <f>AVERAGEIF(Raw_Data!A:A, Raw_Data!A405, Raw_Data!D:D)</f>
        <v>7</v>
      </c>
      <c r="O405" t="str">
        <f t="shared" si="6"/>
        <v>Medium Solar</v>
      </c>
    </row>
    <row r="406" spans="1:15">
      <c r="A406" t="s">
        <v>34</v>
      </c>
      <c r="B406">
        <v>22.5</v>
      </c>
      <c r="C406">
        <v>3216</v>
      </c>
      <c r="D406">
        <v>9</v>
      </c>
      <c r="E406" t="s">
        <v>28</v>
      </c>
      <c r="F406">
        <v>40</v>
      </c>
      <c r="G406">
        <v>92</v>
      </c>
      <c r="H406">
        <v>7</v>
      </c>
      <c r="I406">
        <v>15</v>
      </c>
      <c r="J406" t="s">
        <v>17</v>
      </c>
      <c r="K406">
        <v>8.4</v>
      </c>
      <c r="L406">
        <v>101.3</v>
      </c>
      <c r="M406" t="s">
        <v>17</v>
      </c>
      <c r="N406">
        <f>AVERAGEIF(Raw_Data!A:A, Raw_Data!A406, Raw_Data!D:D)</f>
        <v>7.4411764705882346</v>
      </c>
      <c r="O406" t="str">
        <f t="shared" si="6"/>
        <v>High Solar</v>
      </c>
    </row>
    <row r="407" spans="1:15">
      <c r="A407" t="s">
        <v>34</v>
      </c>
      <c r="B407">
        <v>15</v>
      </c>
      <c r="C407">
        <v>4110</v>
      </c>
      <c r="D407">
        <v>7.1</v>
      </c>
      <c r="E407" t="s">
        <v>16</v>
      </c>
      <c r="F407">
        <v>27</v>
      </c>
      <c r="G407">
        <v>44</v>
      </c>
      <c r="H407">
        <v>6</v>
      </c>
      <c r="I407">
        <v>44</v>
      </c>
      <c r="J407" t="s">
        <v>17</v>
      </c>
      <c r="K407">
        <v>4.4000000000000004</v>
      </c>
      <c r="L407">
        <v>53.3</v>
      </c>
      <c r="M407" t="s">
        <v>21</v>
      </c>
      <c r="N407">
        <f>AVERAGEIF(Raw_Data!A:A, Raw_Data!A407, Raw_Data!D:D)</f>
        <v>7.4411764705882346</v>
      </c>
      <c r="O407" t="str">
        <f t="shared" si="6"/>
        <v>Low Solar</v>
      </c>
    </row>
    <row r="408" spans="1:15">
      <c r="A408" t="s">
        <v>35</v>
      </c>
      <c r="B408">
        <v>21.9</v>
      </c>
      <c r="C408">
        <v>4625</v>
      </c>
      <c r="D408">
        <v>4.8</v>
      </c>
      <c r="E408" t="s">
        <v>28</v>
      </c>
      <c r="F408">
        <v>32</v>
      </c>
      <c r="G408">
        <v>68</v>
      </c>
      <c r="H408">
        <v>8</v>
      </c>
      <c r="I408">
        <v>30</v>
      </c>
      <c r="J408" t="s">
        <v>18</v>
      </c>
      <c r="K408">
        <v>4.4000000000000004</v>
      </c>
      <c r="L408">
        <v>52.6</v>
      </c>
      <c r="M408" t="s">
        <v>18</v>
      </c>
      <c r="N408">
        <f>AVERAGEIF(Raw_Data!A:A, Raw_Data!A408, Raw_Data!D:D)</f>
        <v>7.4206896551724144</v>
      </c>
      <c r="O408" t="str">
        <f t="shared" si="6"/>
        <v>Medium Solar</v>
      </c>
    </row>
    <row r="409" spans="1:15">
      <c r="A409" t="s">
        <v>15</v>
      </c>
      <c r="B409">
        <v>1.7</v>
      </c>
      <c r="C409">
        <v>244</v>
      </c>
      <c r="D409">
        <v>4.8</v>
      </c>
      <c r="E409" t="s">
        <v>20</v>
      </c>
      <c r="F409">
        <v>32</v>
      </c>
      <c r="G409">
        <v>55</v>
      </c>
      <c r="H409">
        <v>4</v>
      </c>
      <c r="I409">
        <v>38.5</v>
      </c>
      <c r="J409" t="s">
        <v>18</v>
      </c>
      <c r="K409">
        <v>0.3</v>
      </c>
      <c r="L409">
        <v>4.0999999999999996</v>
      </c>
      <c r="M409" t="s">
        <v>18</v>
      </c>
      <c r="N409">
        <f>AVERAGEIF(Raw_Data!A:A, Raw_Data!A409, Raw_Data!D:D)</f>
        <v>7.1264705882352937</v>
      </c>
      <c r="O409" t="str">
        <f t="shared" si="6"/>
        <v>Medium Solar</v>
      </c>
    </row>
    <row r="410" spans="1:15">
      <c r="A410" t="s">
        <v>31</v>
      </c>
      <c r="B410">
        <v>10.8</v>
      </c>
      <c r="C410">
        <v>3705</v>
      </c>
      <c r="D410">
        <v>9.6</v>
      </c>
      <c r="E410" t="s">
        <v>23</v>
      </c>
      <c r="F410">
        <v>37</v>
      </c>
      <c r="G410">
        <v>73</v>
      </c>
      <c r="H410">
        <v>6</v>
      </c>
      <c r="I410">
        <v>23.5</v>
      </c>
      <c r="J410" t="s">
        <v>17</v>
      </c>
      <c r="K410">
        <v>4.3</v>
      </c>
      <c r="L410">
        <v>51.8</v>
      </c>
      <c r="M410" t="s">
        <v>17</v>
      </c>
      <c r="N410">
        <f>AVERAGEIF(Raw_Data!A:A, Raw_Data!A410, Raw_Data!D:D)</f>
        <v>6.5849999999999991</v>
      </c>
      <c r="O410" t="str">
        <f t="shared" si="6"/>
        <v>High Solar</v>
      </c>
    </row>
    <row r="411" spans="1:15">
      <c r="A411" t="s">
        <v>31</v>
      </c>
      <c r="B411">
        <v>12.4</v>
      </c>
      <c r="C411">
        <v>4953</v>
      </c>
      <c r="D411">
        <v>4.2</v>
      </c>
      <c r="E411" t="s">
        <v>16</v>
      </c>
      <c r="F411">
        <v>28</v>
      </c>
      <c r="G411">
        <v>61</v>
      </c>
      <c r="H411">
        <v>9</v>
      </c>
      <c r="I411">
        <v>22.5</v>
      </c>
      <c r="J411" t="s">
        <v>18</v>
      </c>
      <c r="K411">
        <v>2.2000000000000002</v>
      </c>
      <c r="L411">
        <v>26</v>
      </c>
      <c r="M411" t="s">
        <v>18</v>
      </c>
      <c r="N411">
        <f>AVERAGEIF(Raw_Data!A:A, Raw_Data!A411, Raw_Data!D:D)</f>
        <v>6.5849999999999991</v>
      </c>
      <c r="O411" t="str">
        <f t="shared" si="6"/>
        <v>Medium Solar</v>
      </c>
    </row>
    <row r="412" spans="1:15">
      <c r="A412" t="s">
        <v>25</v>
      </c>
      <c r="B412">
        <v>6.4</v>
      </c>
      <c r="C412">
        <v>1696</v>
      </c>
      <c r="D412">
        <v>5.0999999999999996</v>
      </c>
      <c r="E412" t="s">
        <v>20</v>
      </c>
      <c r="F412">
        <v>34</v>
      </c>
      <c r="G412">
        <v>76</v>
      </c>
      <c r="H412">
        <v>4</v>
      </c>
      <c r="I412">
        <v>28</v>
      </c>
      <c r="J412" t="s">
        <v>18</v>
      </c>
      <c r="K412">
        <v>1.4</v>
      </c>
      <c r="L412">
        <v>16.3</v>
      </c>
      <c r="M412" t="s">
        <v>18</v>
      </c>
      <c r="N412">
        <f>AVERAGEIF(Raw_Data!A:A, Raw_Data!A412, Raw_Data!D:D)</f>
        <v>7.0823529411764703</v>
      </c>
      <c r="O412" t="str">
        <f t="shared" si="6"/>
        <v>High Solar</v>
      </c>
    </row>
    <row r="413" spans="1:15">
      <c r="A413" t="s">
        <v>27</v>
      </c>
      <c r="B413">
        <v>8.9</v>
      </c>
      <c r="C413">
        <v>1859</v>
      </c>
      <c r="D413">
        <v>9.6999999999999993</v>
      </c>
      <c r="E413" t="s">
        <v>20</v>
      </c>
      <c r="F413">
        <v>38</v>
      </c>
      <c r="G413">
        <v>81</v>
      </c>
      <c r="H413">
        <v>6</v>
      </c>
      <c r="I413">
        <v>26.5</v>
      </c>
      <c r="J413" t="s">
        <v>17</v>
      </c>
      <c r="K413">
        <v>3.6</v>
      </c>
      <c r="L413">
        <v>43.2</v>
      </c>
      <c r="M413" t="s">
        <v>17</v>
      </c>
      <c r="N413">
        <f>AVERAGEIF(Raw_Data!A:A, Raw_Data!A413, Raw_Data!D:D)</f>
        <v>6.8347826086956527</v>
      </c>
      <c r="O413" t="str">
        <f t="shared" si="6"/>
        <v>High Solar</v>
      </c>
    </row>
    <row r="414" spans="1:15">
      <c r="A414" t="s">
        <v>24</v>
      </c>
      <c r="B414">
        <v>22.2</v>
      </c>
      <c r="C414">
        <v>4676</v>
      </c>
      <c r="D414">
        <v>5.0999999999999996</v>
      </c>
      <c r="E414" t="s">
        <v>16</v>
      </c>
      <c r="F414">
        <v>34</v>
      </c>
      <c r="G414">
        <v>50</v>
      </c>
      <c r="H414">
        <v>6</v>
      </c>
      <c r="I414">
        <v>40</v>
      </c>
      <c r="J414" t="s">
        <v>18</v>
      </c>
      <c r="K414">
        <v>4.7</v>
      </c>
      <c r="L414">
        <v>56.6</v>
      </c>
      <c r="M414" t="s">
        <v>21</v>
      </c>
      <c r="N414">
        <f>AVERAGEIF(Raw_Data!A:A, Raw_Data!A414, Raw_Data!D:D)</f>
        <v>7.0352941176470587</v>
      </c>
      <c r="O414" t="str">
        <f t="shared" si="6"/>
        <v>Medium Solar</v>
      </c>
    </row>
    <row r="415" spans="1:15">
      <c r="A415" t="s">
        <v>30</v>
      </c>
      <c r="B415">
        <v>13.4</v>
      </c>
      <c r="C415">
        <v>2997</v>
      </c>
      <c r="D415">
        <v>6</v>
      </c>
      <c r="E415" t="s">
        <v>20</v>
      </c>
      <c r="F415">
        <v>40</v>
      </c>
      <c r="G415">
        <v>89</v>
      </c>
      <c r="H415">
        <v>6</v>
      </c>
      <c r="I415">
        <v>20.5</v>
      </c>
      <c r="J415" t="s">
        <v>18</v>
      </c>
      <c r="K415">
        <v>3.4</v>
      </c>
      <c r="L415">
        <v>40.200000000000003</v>
      </c>
      <c r="M415" t="s">
        <v>17</v>
      </c>
      <c r="N415">
        <f>AVERAGEIF(Raw_Data!A:A, Raw_Data!A415, Raw_Data!D:D)</f>
        <v>7</v>
      </c>
      <c r="O415" t="str">
        <f t="shared" si="6"/>
        <v>High Solar</v>
      </c>
    </row>
    <row r="416" spans="1:15">
      <c r="A416" t="s">
        <v>33</v>
      </c>
      <c r="B416">
        <v>20.6</v>
      </c>
      <c r="C416">
        <v>4823</v>
      </c>
      <c r="D416">
        <v>7.8</v>
      </c>
      <c r="E416" t="s">
        <v>20</v>
      </c>
      <c r="F416">
        <v>25</v>
      </c>
      <c r="G416">
        <v>62</v>
      </c>
      <c r="H416">
        <v>9</v>
      </c>
      <c r="I416">
        <v>26</v>
      </c>
      <c r="J416" t="s">
        <v>17</v>
      </c>
      <c r="K416">
        <v>6.7</v>
      </c>
      <c r="L416">
        <v>80.3</v>
      </c>
      <c r="M416" t="s">
        <v>18</v>
      </c>
      <c r="N416">
        <f>AVERAGEIF(Raw_Data!A:A, Raw_Data!A416, Raw_Data!D:D)</f>
        <v>7.1129032258064528</v>
      </c>
      <c r="O416" t="str">
        <f t="shared" si="6"/>
        <v>Medium Solar</v>
      </c>
    </row>
    <row r="417" spans="1:15">
      <c r="A417" t="s">
        <v>31</v>
      </c>
      <c r="B417">
        <v>23.2</v>
      </c>
      <c r="C417">
        <v>3174</v>
      </c>
      <c r="D417">
        <v>10.3</v>
      </c>
      <c r="E417" t="s">
        <v>23</v>
      </c>
      <c r="F417">
        <v>42</v>
      </c>
      <c r="G417">
        <v>88</v>
      </c>
      <c r="H417">
        <v>8</v>
      </c>
      <c r="I417">
        <v>20</v>
      </c>
      <c r="J417" t="s">
        <v>32</v>
      </c>
      <c r="K417">
        <v>10</v>
      </c>
      <c r="L417">
        <v>119.5</v>
      </c>
      <c r="M417" t="s">
        <v>17</v>
      </c>
      <c r="N417">
        <f>AVERAGEIF(Raw_Data!A:A, Raw_Data!A417, Raw_Data!D:D)</f>
        <v>6.5849999999999991</v>
      </c>
      <c r="O417" t="str">
        <f t="shared" si="6"/>
        <v>High Solar</v>
      </c>
    </row>
    <row r="418" spans="1:15">
      <c r="A418" t="s">
        <v>33</v>
      </c>
      <c r="B418">
        <v>24.8</v>
      </c>
      <c r="C418">
        <v>4759</v>
      </c>
      <c r="D418">
        <v>4.8</v>
      </c>
      <c r="E418" t="s">
        <v>23</v>
      </c>
      <c r="F418">
        <v>25</v>
      </c>
      <c r="G418">
        <v>59</v>
      </c>
      <c r="H418">
        <v>9</v>
      </c>
      <c r="I418">
        <v>26.5</v>
      </c>
      <c r="J418" t="s">
        <v>18</v>
      </c>
      <c r="K418">
        <v>5</v>
      </c>
      <c r="L418">
        <v>59.5</v>
      </c>
      <c r="M418" t="s">
        <v>18</v>
      </c>
      <c r="N418">
        <f>AVERAGEIF(Raw_Data!A:A, Raw_Data!A418, Raw_Data!D:D)</f>
        <v>7.1129032258064528</v>
      </c>
      <c r="O418" t="str">
        <f t="shared" si="6"/>
        <v>Medium Solar</v>
      </c>
    </row>
    <row r="419" spans="1:15">
      <c r="A419" t="s">
        <v>15</v>
      </c>
      <c r="B419">
        <v>20.9</v>
      </c>
      <c r="C419">
        <v>4686</v>
      </c>
      <c r="D419">
        <v>5.7</v>
      </c>
      <c r="E419" t="s">
        <v>28</v>
      </c>
      <c r="F419">
        <v>38</v>
      </c>
      <c r="G419">
        <v>84</v>
      </c>
      <c r="H419">
        <v>9</v>
      </c>
      <c r="I419">
        <v>20</v>
      </c>
      <c r="J419" t="s">
        <v>18</v>
      </c>
      <c r="K419">
        <v>5</v>
      </c>
      <c r="L419">
        <v>59.6</v>
      </c>
      <c r="M419" t="s">
        <v>17</v>
      </c>
      <c r="N419">
        <f>AVERAGEIF(Raw_Data!A:A, Raw_Data!A419, Raw_Data!D:D)</f>
        <v>7.1264705882352937</v>
      </c>
      <c r="O419" t="str">
        <f t="shared" si="6"/>
        <v>High Solar</v>
      </c>
    </row>
    <row r="420" spans="1:15">
      <c r="A420" t="s">
        <v>31</v>
      </c>
      <c r="B420">
        <v>24.1</v>
      </c>
      <c r="C420">
        <v>2366</v>
      </c>
      <c r="D420">
        <v>5.7</v>
      </c>
      <c r="E420" t="s">
        <v>20</v>
      </c>
      <c r="F420">
        <v>31</v>
      </c>
      <c r="G420">
        <v>52</v>
      </c>
      <c r="H420">
        <v>8</v>
      </c>
      <c r="I420">
        <v>33</v>
      </c>
      <c r="J420" t="s">
        <v>18</v>
      </c>
      <c r="K420">
        <v>5.7</v>
      </c>
      <c r="L420">
        <v>68.7</v>
      </c>
      <c r="M420" t="s">
        <v>18</v>
      </c>
      <c r="N420">
        <f>AVERAGEIF(Raw_Data!A:A, Raw_Data!A420, Raw_Data!D:D)</f>
        <v>6.5849999999999991</v>
      </c>
      <c r="O420" t="str">
        <f t="shared" si="6"/>
        <v>Medium Solar</v>
      </c>
    </row>
    <row r="421" spans="1:15">
      <c r="A421" t="s">
        <v>31</v>
      </c>
      <c r="B421">
        <v>8.6999999999999993</v>
      </c>
      <c r="C421">
        <v>1281</v>
      </c>
      <c r="D421">
        <v>6.8</v>
      </c>
      <c r="E421" t="s">
        <v>28</v>
      </c>
      <c r="F421">
        <v>25</v>
      </c>
      <c r="G421">
        <v>55</v>
      </c>
      <c r="H421">
        <v>7</v>
      </c>
      <c r="I421">
        <v>37.5</v>
      </c>
      <c r="J421" t="s">
        <v>17</v>
      </c>
      <c r="K421">
        <v>2.5</v>
      </c>
      <c r="L421">
        <v>29.6</v>
      </c>
      <c r="M421" t="s">
        <v>18</v>
      </c>
      <c r="N421">
        <f>AVERAGEIF(Raw_Data!A:A, Raw_Data!A421, Raw_Data!D:D)</f>
        <v>6.5849999999999991</v>
      </c>
      <c r="O421" t="str">
        <f t="shared" si="6"/>
        <v>Medium Solar</v>
      </c>
    </row>
    <row r="422" spans="1:15">
      <c r="A422" t="s">
        <v>31</v>
      </c>
      <c r="B422">
        <v>18.8</v>
      </c>
      <c r="C422">
        <v>4819</v>
      </c>
      <c r="D422">
        <v>5.5</v>
      </c>
      <c r="E422" t="s">
        <v>23</v>
      </c>
      <c r="F422">
        <v>30</v>
      </c>
      <c r="G422">
        <v>50</v>
      </c>
      <c r="H422">
        <v>9</v>
      </c>
      <c r="I422">
        <v>30</v>
      </c>
      <c r="J422" t="s">
        <v>18</v>
      </c>
      <c r="K422">
        <v>4.3</v>
      </c>
      <c r="L422">
        <v>51.7</v>
      </c>
      <c r="M422" t="s">
        <v>21</v>
      </c>
      <c r="N422">
        <f>AVERAGEIF(Raw_Data!A:A, Raw_Data!A422, Raw_Data!D:D)</f>
        <v>6.5849999999999991</v>
      </c>
      <c r="O422" t="str">
        <f t="shared" si="6"/>
        <v>Medium Solar</v>
      </c>
    </row>
    <row r="423" spans="1:15">
      <c r="A423" t="s">
        <v>30</v>
      </c>
      <c r="B423">
        <v>24</v>
      </c>
      <c r="C423">
        <v>2307</v>
      </c>
      <c r="D423">
        <v>8.5</v>
      </c>
      <c r="E423" t="s">
        <v>16</v>
      </c>
      <c r="F423">
        <v>30</v>
      </c>
      <c r="G423">
        <v>52</v>
      </c>
      <c r="H423">
        <v>7</v>
      </c>
      <c r="I423">
        <v>30</v>
      </c>
      <c r="J423" t="s">
        <v>17</v>
      </c>
      <c r="K423">
        <v>8.5</v>
      </c>
      <c r="L423">
        <v>102</v>
      </c>
      <c r="M423" t="s">
        <v>18</v>
      </c>
      <c r="N423">
        <f>AVERAGEIF(Raw_Data!A:A, Raw_Data!A423, Raw_Data!D:D)</f>
        <v>7</v>
      </c>
      <c r="O423" t="str">
        <f t="shared" si="6"/>
        <v>Medium Solar</v>
      </c>
    </row>
    <row r="424" spans="1:15">
      <c r="A424" t="s">
        <v>30</v>
      </c>
      <c r="B424">
        <v>8.1</v>
      </c>
      <c r="C424">
        <v>1199</v>
      </c>
      <c r="D424">
        <v>7.6</v>
      </c>
      <c r="E424" t="s">
        <v>20</v>
      </c>
      <c r="F424">
        <v>37</v>
      </c>
      <c r="G424">
        <v>86</v>
      </c>
      <c r="H424">
        <v>4</v>
      </c>
      <c r="I424">
        <v>27</v>
      </c>
      <c r="J424" t="s">
        <v>17</v>
      </c>
      <c r="K424">
        <v>2.6</v>
      </c>
      <c r="L424">
        <v>30.8</v>
      </c>
      <c r="M424" t="s">
        <v>18</v>
      </c>
      <c r="N424">
        <f>AVERAGEIF(Raw_Data!A:A, Raw_Data!A424, Raw_Data!D:D)</f>
        <v>7</v>
      </c>
      <c r="O424" t="str">
        <f t="shared" si="6"/>
        <v>High Solar</v>
      </c>
    </row>
    <row r="425" spans="1:15">
      <c r="A425" t="s">
        <v>29</v>
      </c>
      <c r="B425">
        <v>23.8</v>
      </c>
      <c r="C425">
        <v>3925</v>
      </c>
      <c r="D425">
        <v>5.7</v>
      </c>
      <c r="E425" t="s">
        <v>16</v>
      </c>
      <c r="F425">
        <v>31</v>
      </c>
      <c r="G425">
        <v>55</v>
      </c>
      <c r="H425">
        <v>6</v>
      </c>
      <c r="I425">
        <v>38.5</v>
      </c>
      <c r="J425" t="s">
        <v>18</v>
      </c>
      <c r="K425">
        <v>5.7</v>
      </c>
      <c r="L425">
        <v>67.8</v>
      </c>
      <c r="M425" t="s">
        <v>18</v>
      </c>
      <c r="N425">
        <f>AVERAGEIF(Raw_Data!A:A, Raw_Data!A425, Raw_Data!D:D)</f>
        <v>7.0571428571428561</v>
      </c>
      <c r="O425" t="str">
        <f t="shared" si="6"/>
        <v>Medium Solar</v>
      </c>
    </row>
    <row r="426" spans="1:15">
      <c r="A426" t="s">
        <v>15</v>
      </c>
      <c r="B426">
        <v>6.8</v>
      </c>
      <c r="C426">
        <v>1839</v>
      </c>
      <c r="D426">
        <v>8.6999999999999993</v>
      </c>
      <c r="E426" t="s">
        <v>28</v>
      </c>
      <c r="F426">
        <v>38</v>
      </c>
      <c r="G426">
        <v>77</v>
      </c>
      <c r="H426">
        <v>6</v>
      </c>
      <c r="I426">
        <v>25.5</v>
      </c>
      <c r="J426" t="s">
        <v>17</v>
      </c>
      <c r="K426">
        <v>2.5</v>
      </c>
      <c r="L426">
        <v>29.6</v>
      </c>
      <c r="M426" t="s">
        <v>17</v>
      </c>
      <c r="N426">
        <f>AVERAGEIF(Raw_Data!A:A, Raw_Data!A426, Raw_Data!D:D)</f>
        <v>7.1264705882352937</v>
      </c>
      <c r="O426" t="str">
        <f t="shared" si="6"/>
        <v>High Solar</v>
      </c>
    </row>
    <row r="427" spans="1:15">
      <c r="A427" t="s">
        <v>34</v>
      </c>
      <c r="B427">
        <v>6.2</v>
      </c>
      <c r="C427">
        <v>962</v>
      </c>
      <c r="D427">
        <v>8.8000000000000007</v>
      </c>
      <c r="E427" t="s">
        <v>16</v>
      </c>
      <c r="F427">
        <v>32</v>
      </c>
      <c r="G427">
        <v>80</v>
      </c>
      <c r="H427">
        <v>4</v>
      </c>
      <c r="I427">
        <v>24</v>
      </c>
      <c r="J427" t="s">
        <v>17</v>
      </c>
      <c r="K427">
        <v>2.2999999999999998</v>
      </c>
      <c r="L427">
        <v>27.3</v>
      </c>
      <c r="M427" t="s">
        <v>18</v>
      </c>
      <c r="N427">
        <f>AVERAGEIF(Raw_Data!A:A, Raw_Data!A427, Raw_Data!D:D)</f>
        <v>7.4411764705882346</v>
      </c>
      <c r="O427" t="str">
        <f t="shared" si="6"/>
        <v>High Solar</v>
      </c>
    </row>
    <row r="428" spans="1:15">
      <c r="A428" t="s">
        <v>25</v>
      </c>
      <c r="B428">
        <v>15.7</v>
      </c>
      <c r="C428">
        <v>2086</v>
      </c>
      <c r="D428">
        <v>8.1999999999999993</v>
      </c>
      <c r="E428" t="s">
        <v>20</v>
      </c>
      <c r="F428">
        <v>28</v>
      </c>
      <c r="G428">
        <v>64</v>
      </c>
      <c r="H428">
        <v>8</v>
      </c>
      <c r="I428">
        <v>32</v>
      </c>
      <c r="J428" t="s">
        <v>17</v>
      </c>
      <c r="K428">
        <v>5.4</v>
      </c>
      <c r="L428">
        <v>64.400000000000006</v>
      </c>
      <c r="M428" t="s">
        <v>18</v>
      </c>
      <c r="N428">
        <f>AVERAGEIF(Raw_Data!A:A, Raw_Data!A428, Raw_Data!D:D)</f>
        <v>7.0823529411764703</v>
      </c>
      <c r="O428" t="str">
        <f t="shared" si="6"/>
        <v>Medium Solar</v>
      </c>
    </row>
    <row r="429" spans="1:15">
      <c r="A429" t="s">
        <v>24</v>
      </c>
      <c r="B429">
        <v>11.5</v>
      </c>
      <c r="C429">
        <v>3189</v>
      </c>
      <c r="D429">
        <v>5.4</v>
      </c>
      <c r="E429" t="s">
        <v>28</v>
      </c>
      <c r="F429">
        <v>29</v>
      </c>
      <c r="G429">
        <v>43</v>
      </c>
      <c r="H429">
        <v>9</v>
      </c>
      <c r="I429">
        <v>35.5</v>
      </c>
      <c r="J429" t="s">
        <v>18</v>
      </c>
      <c r="K429">
        <v>2.6</v>
      </c>
      <c r="L429">
        <v>31.1</v>
      </c>
      <c r="M429" t="s">
        <v>21</v>
      </c>
      <c r="N429">
        <f>AVERAGEIF(Raw_Data!A:A, Raw_Data!A429, Raw_Data!D:D)</f>
        <v>7.0352941176470587</v>
      </c>
      <c r="O429" t="str">
        <f t="shared" si="6"/>
        <v>Low Solar</v>
      </c>
    </row>
    <row r="430" spans="1:15">
      <c r="A430" t="s">
        <v>19</v>
      </c>
      <c r="B430">
        <v>9.5</v>
      </c>
      <c r="C430">
        <v>1040</v>
      </c>
      <c r="D430">
        <v>4.0999999999999996</v>
      </c>
      <c r="E430" t="s">
        <v>20</v>
      </c>
      <c r="F430">
        <v>27</v>
      </c>
      <c r="G430">
        <v>58</v>
      </c>
      <c r="H430">
        <v>4</v>
      </c>
      <c r="I430">
        <v>42</v>
      </c>
      <c r="J430" t="s">
        <v>18</v>
      </c>
      <c r="K430">
        <v>1.6</v>
      </c>
      <c r="L430">
        <v>19.5</v>
      </c>
      <c r="M430" t="s">
        <v>18</v>
      </c>
      <c r="N430">
        <f>AVERAGEIF(Raw_Data!A:A, Raw_Data!A430, Raw_Data!D:D)</f>
        <v>6.8899999999999988</v>
      </c>
      <c r="O430" t="str">
        <f t="shared" si="6"/>
        <v>Medium Solar</v>
      </c>
    </row>
    <row r="431" spans="1:15">
      <c r="A431" t="s">
        <v>37</v>
      </c>
      <c r="B431">
        <v>9.1999999999999993</v>
      </c>
      <c r="C431">
        <v>802</v>
      </c>
      <c r="D431">
        <v>5.5</v>
      </c>
      <c r="E431" t="s">
        <v>20</v>
      </c>
      <c r="F431">
        <v>30</v>
      </c>
      <c r="G431">
        <v>34</v>
      </c>
      <c r="H431">
        <v>4</v>
      </c>
      <c r="I431">
        <v>52</v>
      </c>
      <c r="J431" t="s">
        <v>18</v>
      </c>
      <c r="K431">
        <v>2.1</v>
      </c>
      <c r="L431">
        <v>25.3</v>
      </c>
      <c r="M431" t="s">
        <v>21</v>
      </c>
      <c r="N431">
        <f>AVERAGEIF(Raw_Data!A:A, Raw_Data!A431, Raw_Data!D:D)</f>
        <v>6.7384615384615376</v>
      </c>
      <c r="O431" t="str">
        <f t="shared" si="6"/>
        <v>Low Solar</v>
      </c>
    </row>
    <row r="432" spans="1:15">
      <c r="A432" t="s">
        <v>25</v>
      </c>
      <c r="B432">
        <v>12.2</v>
      </c>
      <c r="C432">
        <v>2936</v>
      </c>
      <c r="D432">
        <v>7.8</v>
      </c>
      <c r="E432" t="s">
        <v>20</v>
      </c>
      <c r="F432">
        <v>45</v>
      </c>
      <c r="G432">
        <v>76</v>
      </c>
      <c r="H432">
        <v>9</v>
      </c>
      <c r="I432">
        <v>21</v>
      </c>
      <c r="J432" t="s">
        <v>17</v>
      </c>
      <c r="K432">
        <v>4</v>
      </c>
      <c r="L432">
        <v>47.6</v>
      </c>
      <c r="M432" t="s">
        <v>17</v>
      </c>
      <c r="N432">
        <f>AVERAGEIF(Raw_Data!A:A, Raw_Data!A432, Raw_Data!D:D)</f>
        <v>7.0823529411764703</v>
      </c>
      <c r="O432" t="str">
        <f t="shared" si="6"/>
        <v>High Solar</v>
      </c>
    </row>
    <row r="433" spans="1:15">
      <c r="A433" t="s">
        <v>26</v>
      </c>
      <c r="B433">
        <v>17.600000000000001</v>
      </c>
      <c r="C433">
        <v>2771</v>
      </c>
      <c r="D433">
        <v>6.7</v>
      </c>
      <c r="E433" t="s">
        <v>16</v>
      </c>
      <c r="F433">
        <v>38</v>
      </c>
      <c r="G433">
        <v>91</v>
      </c>
      <c r="H433">
        <v>6</v>
      </c>
      <c r="I433">
        <v>22.5</v>
      </c>
      <c r="J433" t="s">
        <v>17</v>
      </c>
      <c r="K433">
        <v>4.9000000000000004</v>
      </c>
      <c r="L433">
        <v>59</v>
      </c>
      <c r="M433" t="s">
        <v>17</v>
      </c>
      <c r="N433">
        <f>AVERAGEIF(Raw_Data!A:A, Raw_Data!A433, Raw_Data!D:D)</f>
        <v>6.9771428571428586</v>
      </c>
      <c r="O433" t="str">
        <f t="shared" si="6"/>
        <v>High Solar</v>
      </c>
    </row>
    <row r="434" spans="1:15">
      <c r="A434" t="s">
        <v>22</v>
      </c>
      <c r="B434">
        <v>5.8</v>
      </c>
      <c r="C434">
        <v>1463</v>
      </c>
      <c r="D434">
        <v>6.5</v>
      </c>
      <c r="E434" t="s">
        <v>28</v>
      </c>
      <c r="F434">
        <v>30</v>
      </c>
      <c r="G434">
        <v>47</v>
      </c>
      <c r="H434">
        <v>4</v>
      </c>
      <c r="I434">
        <v>46.5</v>
      </c>
      <c r="J434" t="s">
        <v>17</v>
      </c>
      <c r="K434">
        <v>1.6</v>
      </c>
      <c r="L434">
        <v>18.899999999999999</v>
      </c>
      <c r="M434" t="s">
        <v>21</v>
      </c>
      <c r="N434">
        <f>AVERAGEIF(Raw_Data!A:A, Raw_Data!A434, Raw_Data!D:D)</f>
        <v>7.0051282051282051</v>
      </c>
      <c r="O434" t="str">
        <f t="shared" si="6"/>
        <v>Low Solar</v>
      </c>
    </row>
    <row r="435" spans="1:15">
      <c r="A435" t="s">
        <v>27</v>
      </c>
      <c r="B435">
        <v>9.5</v>
      </c>
      <c r="C435">
        <v>931</v>
      </c>
      <c r="D435">
        <v>4.2</v>
      </c>
      <c r="E435" t="s">
        <v>16</v>
      </c>
      <c r="F435">
        <v>28</v>
      </c>
      <c r="G435">
        <v>33</v>
      </c>
      <c r="H435">
        <v>6</v>
      </c>
      <c r="I435">
        <v>42.5</v>
      </c>
      <c r="J435" t="s">
        <v>18</v>
      </c>
      <c r="K435">
        <v>1.7</v>
      </c>
      <c r="L435">
        <v>20</v>
      </c>
      <c r="M435" t="s">
        <v>21</v>
      </c>
      <c r="N435">
        <f>AVERAGEIF(Raw_Data!A:A, Raw_Data!A435, Raw_Data!D:D)</f>
        <v>6.8347826086956527</v>
      </c>
      <c r="O435" t="str">
        <f t="shared" si="6"/>
        <v>Low Solar</v>
      </c>
    </row>
    <row r="436" spans="1:15">
      <c r="A436" t="s">
        <v>37</v>
      </c>
      <c r="B436">
        <v>15.5</v>
      </c>
      <c r="C436">
        <v>3737</v>
      </c>
      <c r="D436">
        <v>8.6999999999999993</v>
      </c>
      <c r="E436" t="s">
        <v>23</v>
      </c>
      <c r="F436">
        <v>31</v>
      </c>
      <c r="G436">
        <v>62</v>
      </c>
      <c r="H436">
        <v>6</v>
      </c>
      <c r="I436">
        <v>27</v>
      </c>
      <c r="J436" t="s">
        <v>17</v>
      </c>
      <c r="K436">
        <v>5.6</v>
      </c>
      <c r="L436">
        <v>67.400000000000006</v>
      </c>
      <c r="M436" t="s">
        <v>18</v>
      </c>
      <c r="N436">
        <f>AVERAGEIF(Raw_Data!A:A, Raw_Data!A436, Raw_Data!D:D)</f>
        <v>6.7384615384615376</v>
      </c>
      <c r="O436" t="str">
        <f t="shared" si="6"/>
        <v>Medium Solar</v>
      </c>
    </row>
    <row r="437" spans="1:15">
      <c r="A437" t="s">
        <v>15</v>
      </c>
      <c r="B437">
        <v>9.5</v>
      </c>
      <c r="C437">
        <v>1023</v>
      </c>
      <c r="D437">
        <v>9.3000000000000007</v>
      </c>
      <c r="E437" t="s">
        <v>23</v>
      </c>
      <c r="F437">
        <v>35</v>
      </c>
      <c r="G437">
        <v>57</v>
      </c>
      <c r="H437">
        <v>4</v>
      </c>
      <c r="I437">
        <v>35.5</v>
      </c>
      <c r="J437" t="s">
        <v>17</v>
      </c>
      <c r="K437">
        <v>3.7</v>
      </c>
      <c r="L437">
        <v>44.2</v>
      </c>
      <c r="M437" t="s">
        <v>18</v>
      </c>
      <c r="N437">
        <f>AVERAGEIF(Raw_Data!A:A, Raw_Data!A437, Raw_Data!D:D)</f>
        <v>7.1264705882352937</v>
      </c>
      <c r="O437" t="str">
        <f t="shared" si="6"/>
        <v>Medium Solar</v>
      </c>
    </row>
    <row r="438" spans="1:15">
      <c r="A438" t="s">
        <v>27</v>
      </c>
      <c r="B438">
        <v>18.899999999999999</v>
      </c>
      <c r="C438">
        <v>4001</v>
      </c>
      <c r="D438">
        <v>6.1</v>
      </c>
      <c r="E438" t="s">
        <v>28</v>
      </c>
      <c r="F438">
        <v>27</v>
      </c>
      <c r="G438">
        <v>65</v>
      </c>
      <c r="H438">
        <v>7</v>
      </c>
      <c r="I438">
        <v>33.5</v>
      </c>
      <c r="J438" t="s">
        <v>17</v>
      </c>
      <c r="K438">
        <v>4.8</v>
      </c>
      <c r="L438">
        <v>57.6</v>
      </c>
      <c r="M438" t="s">
        <v>18</v>
      </c>
      <c r="N438">
        <f>AVERAGEIF(Raw_Data!A:A, Raw_Data!A438, Raw_Data!D:D)</f>
        <v>6.8347826086956527</v>
      </c>
      <c r="O438" t="str">
        <f t="shared" si="6"/>
        <v>Medium Solar</v>
      </c>
    </row>
    <row r="439" spans="1:15">
      <c r="A439" t="s">
        <v>25</v>
      </c>
      <c r="B439">
        <v>3.2</v>
      </c>
      <c r="C439">
        <v>199</v>
      </c>
      <c r="D439">
        <v>5.3</v>
      </c>
      <c r="E439" t="s">
        <v>20</v>
      </c>
      <c r="F439">
        <v>35</v>
      </c>
      <c r="G439">
        <v>53</v>
      </c>
      <c r="H439">
        <v>2</v>
      </c>
      <c r="I439">
        <v>40.5</v>
      </c>
      <c r="J439" t="s">
        <v>18</v>
      </c>
      <c r="K439">
        <v>0.7</v>
      </c>
      <c r="L439">
        <v>8.5</v>
      </c>
      <c r="M439" t="s">
        <v>18</v>
      </c>
      <c r="N439">
        <f>AVERAGEIF(Raw_Data!A:A, Raw_Data!A439, Raw_Data!D:D)</f>
        <v>7.0823529411764703</v>
      </c>
      <c r="O439" t="str">
        <f t="shared" si="6"/>
        <v>Medium Solar</v>
      </c>
    </row>
    <row r="440" spans="1:15">
      <c r="A440" t="s">
        <v>37</v>
      </c>
      <c r="B440">
        <v>17.600000000000001</v>
      </c>
      <c r="C440">
        <v>2858</v>
      </c>
      <c r="D440">
        <v>7.1</v>
      </c>
      <c r="E440" t="s">
        <v>23</v>
      </c>
      <c r="F440">
        <v>34</v>
      </c>
      <c r="G440">
        <v>68</v>
      </c>
      <c r="H440">
        <v>9</v>
      </c>
      <c r="I440">
        <v>27</v>
      </c>
      <c r="J440" t="s">
        <v>17</v>
      </c>
      <c r="K440">
        <v>5.2</v>
      </c>
      <c r="L440">
        <v>62.5</v>
      </c>
      <c r="M440" t="s">
        <v>18</v>
      </c>
      <c r="N440">
        <f>AVERAGEIF(Raw_Data!A:A, Raw_Data!A440, Raw_Data!D:D)</f>
        <v>6.7384615384615376</v>
      </c>
      <c r="O440" t="str">
        <f t="shared" si="6"/>
        <v>Medium Solar</v>
      </c>
    </row>
    <row r="441" spans="1:15">
      <c r="A441" t="s">
        <v>19</v>
      </c>
      <c r="B441">
        <v>14.1</v>
      </c>
      <c r="C441">
        <v>2759</v>
      </c>
      <c r="D441">
        <v>5.6</v>
      </c>
      <c r="E441" t="s">
        <v>23</v>
      </c>
      <c r="F441">
        <v>37</v>
      </c>
      <c r="G441">
        <v>76</v>
      </c>
      <c r="H441">
        <v>6</v>
      </c>
      <c r="I441">
        <v>26</v>
      </c>
      <c r="J441" t="s">
        <v>18</v>
      </c>
      <c r="K441">
        <v>3.3</v>
      </c>
      <c r="L441">
        <v>39.5</v>
      </c>
      <c r="M441" t="s">
        <v>17</v>
      </c>
      <c r="N441">
        <f>AVERAGEIF(Raw_Data!A:A, Raw_Data!A441, Raw_Data!D:D)</f>
        <v>6.8899999999999988</v>
      </c>
      <c r="O441" t="str">
        <f t="shared" si="6"/>
        <v>High Solar</v>
      </c>
    </row>
    <row r="442" spans="1:15">
      <c r="A442" t="s">
        <v>34</v>
      </c>
      <c r="B442">
        <v>19.2</v>
      </c>
      <c r="C442">
        <v>2032</v>
      </c>
      <c r="D442">
        <v>7.2</v>
      </c>
      <c r="E442" t="s">
        <v>28</v>
      </c>
      <c r="F442">
        <v>28</v>
      </c>
      <c r="G442">
        <v>34</v>
      </c>
      <c r="H442">
        <v>8</v>
      </c>
      <c r="I442">
        <v>40</v>
      </c>
      <c r="J442" t="s">
        <v>17</v>
      </c>
      <c r="K442">
        <v>5.8</v>
      </c>
      <c r="L442">
        <v>69.099999999999994</v>
      </c>
      <c r="M442" t="s">
        <v>21</v>
      </c>
      <c r="N442">
        <f>AVERAGEIF(Raw_Data!A:A, Raw_Data!A442, Raw_Data!D:D)</f>
        <v>7.4411764705882346</v>
      </c>
      <c r="O442" t="str">
        <f t="shared" si="6"/>
        <v>Low Solar</v>
      </c>
    </row>
    <row r="443" spans="1:15">
      <c r="A443" t="s">
        <v>29</v>
      </c>
      <c r="B443">
        <v>6.8</v>
      </c>
      <c r="C443">
        <v>1232</v>
      </c>
      <c r="D443">
        <v>7.6</v>
      </c>
      <c r="E443" t="s">
        <v>20</v>
      </c>
      <c r="F443">
        <v>37</v>
      </c>
      <c r="G443">
        <v>72</v>
      </c>
      <c r="H443">
        <v>4</v>
      </c>
      <c r="I443">
        <v>36</v>
      </c>
      <c r="J443" t="s">
        <v>17</v>
      </c>
      <c r="K443">
        <v>2.2000000000000002</v>
      </c>
      <c r="L443">
        <v>25.8</v>
      </c>
      <c r="M443" t="s">
        <v>18</v>
      </c>
      <c r="N443">
        <f>AVERAGEIF(Raw_Data!A:A, Raw_Data!A443, Raw_Data!D:D)</f>
        <v>7.0571428571428561</v>
      </c>
      <c r="O443" t="str">
        <f t="shared" si="6"/>
        <v>High Solar</v>
      </c>
    </row>
    <row r="444" spans="1:15">
      <c r="A444" t="s">
        <v>31</v>
      </c>
      <c r="B444">
        <v>13.6</v>
      </c>
      <c r="C444">
        <v>4753</v>
      </c>
      <c r="D444">
        <v>5.0999999999999996</v>
      </c>
      <c r="E444" t="s">
        <v>23</v>
      </c>
      <c r="F444">
        <v>34</v>
      </c>
      <c r="G444">
        <v>75</v>
      </c>
      <c r="H444">
        <v>9</v>
      </c>
      <c r="I444">
        <v>17.5</v>
      </c>
      <c r="J444" t="s">
        <v>18</v>
      </c>
      <c r="K444">
        <v>2.9</v>
      </c>
      <c r="L444">
        <v>34.700000000000003</v>
      </c>
      <c r="M444" t="s">
        <v>17</v>
      </c>
      <c r="N444">
        <f>AVERAGEIF(Raw_Data!A:A, Raw_Data!A444, Raw_Data!D:D)</f>
        <v>6.5849999999999991</v>
      </c>
      <c r="O444" t="str">
        <f t="shared" si="6"/>
        <v>High Solar</v>
      </c>
    </row>
    <row r="445" spans="1:15">
      <c r="A445" t="s">
        <v>22</v>
      </c>
      <c r="B445">
        <v>6.7</v>
      </c>
      <c r="C445">
        <v>1812</v>
      </c>
      <c r="D445">
        <v>7.3</v>
      </c>
      <c r="E445" t="s">
        <v>23</v>
      </c>
      <c r="F445">
        <v>42</v>
      </c>
      <c r="G445">
        <v>72</v>
      </c>
      <c r="H445">
        <v>4</v>
      </c>
      <c r="I445">
        <v>31</v>
      </c>
      <c r="J445" t="s">
        <v>17</v>
      </c>
      <c r="K445">
        <v>2</v>
      </c>
      <c r="L445">
        <v>24.5</v>
      </c>
      <c r="M445" t="s">
        <v>18</v>
      </c>
      <c r="N445">
        <f>AVERAGEIF(Raw_Data!A:A, Raw_Data!A445, Raw_Data!D:D)</f>
        <v>7.0051282051282051</v>
      </c>
      <c r="O445" t="str">
        <f t="shared" si="6"/>
        <v>High Solar</v>
      </c>
    </row>
    <row r="446" spans="1:15">
      <c r="A446" t="s">
        <v>31</v>
      </c>
      <c r="B446">
        <v>16.100000000000001</v>
      </c>
      <c r="C446">
        <v>2383</v>
      </c>
      <c r="D446">
        <v>6.1</v>
      </c>
      <c r="E446" t="s">
        <v>16</v>
      </c>
      <c r="F446">
        <v>27</v>
      </c>
      <c r="G446">
        <v>55</v>
      </c>
      <c r="H446">
        <v>8</v>
      </c>
      <c r="I446">
        <v>29.5</v>
      </c>
      <c r="J446" t="s">
        <v>17</v>
      </c>
      <c r="K446">
        <v>4.0999999999999996</v>
      </c>
      <c r="L446">
        <v>49.1</v>
      </c>
      <c r="M446" t="s">
        <v>18</v>
      </c>
      <c r="N446">
        <f>AVERAGEIF(Raw_Data!A:A, Raw_Data!A446, Raw_Data!D:D)</f>
        <v>6.5849999999999991</v>
      </c>
      <c r="O446" t="str">
        <f t="shared" si="6"/>
        <v>Medium Solar</v>
      </c>
    </row>
    <row r="447" spans="1:15">
      <c r="A447" t="s">
        <v>26</v>
      </c>
      <c r="B447">
        <v>24.1</v>
      </c>
      <c r="C447">
        <v>2137</v>
      </c>
      <c r="D447">
        <v>6.8</v>
      </c>
      <c r="E447" t="s">
        <v>20</v>
      </c>
      <c r="F447">
        <v>25</v>
      </c>
      <c r="G447">
        <v>45</v>
      </c>
      <c r="H447">
        <v>9</v>
      </c>
      <c r="I447">
        <v>38.5</v>
      </c>
      <c r="J447" t="s">
        <v>17</v>
      </c>
      <c r="K447">
        <v>6.8</v>
      </c>
      <c r="L447">
        <v>81.900000000000006</v>
      </c>
      <c r="M447" t="s">
        <v>21</v>
      </c>
      <c r="N447">
        <f>AVERAGEIF(Raw_Data!A:A, Raw_Data!A447, Raw_Data!D:D)</f>
        <v>6.9771428571428586</v>
      </c>
      <c r="O447" t="str">
        <f t="shared" si="6"/>
        <v>Low Solar</v>
      </c>
    </row>
    <row r="448" spans="1:15">
      <c r="A448" t="s">
        <v>36</v>
      </c>
      <c r="B448">
        <v>1.7</v>
      </c>
      <c r="C448">
        <v>561</v>
      </c>
      <c r="D448">
        <v>8</v>
      </c>
      <c r="E448" t="s">
        <v>28</v>
      </c>
      <c r="F448">
        <v>33</v>
      </c>
      <c r="G448">
        <v>71</v>
      </c>
      <c r="H448">
        <v>3</v>
      </c>
      <c r="I448">
        <v>29.5</v>
      </c>
      <c r="J448" t="s">
        <v>17</v>
      </c>
      <c r="K448">
        <v>0.6</v>
      </c>
      <c r="L448">
        <v>6.8</v>
      </c>
      <c r="M448" t="s">
        <v>18</v>
      </c>
      <c r="N448">
        <f>AVERAGEIF(Raw_Data!A:A, Raw_Data!A448, Raw_Data!D:D)</f>
        <v>7.5260869565217385</v>
      </c>
      <c r="O448" t="str">
        <f t="shared" si="6"/>
        <v>High Solar</v>
      </c>
    </row>
    <row r="449" spans="1:15">
      <c r="A449" t="s">
        <v>26</v>
      </c>
      <c r="B449">
        <v>12.5</v>
      </c>
      <c r="C449">
        <v>3466</v>
      </c>
      <c r="D449">
        <v>8</v>
      </c>
      <c r="E449" t="s">
        <v>28</v>
      </c>
      <c r="F449">
        <v>33</v>
      </c>
      <c r="G449">
        <v>53</v>
      </c>
      <c r="H449">
        <v>6</v>
      </c>
      <c r="I449">
        <v>35.5</v>
      </c>
      <c r="J449" t="s">
        <v>17</v>
      </c>
      <c r="K449">
        <v>4.2</v>
      </c>
      <c r="L449">
        <v>50</v>
      </c>
      <c r="M449" t="s">
        <v>18</v>
      </c>
      <c r="N449">
        <f>AVERAGEIF(Raw_Data!A:A, Raw_Data!A449, Raw_Data!D:D)</f>
        <v>6.9771428571428586</v>
      </c>
      <c r="O449" t="str">
        <f t="shared" si="6"/>
        <v>Medium Solar</v>
      </c>
    </row>
    <row r="450" spans="1:15">
      <c r="A450" t="s">
        <v>22</v>
      </c>
      <c r="B450">
        <v>15.9</v>
      </c>
      <c r="C450">
        <v>2316</v>
      </c>
      <c r="D450">
        <v>4.2</v>
      </c>
      <c r="E450" t="s">
        <v>20</v>
      </c>
      <c r="F450">
        <v>28</v>
      </c>
      <c r="G450">
        <v>53</v>
      </c>
      <c r="H450">
        <v>6</v>
      </c>
      <c r="I450">
        <v>40.5</v>
      </c>
      <c r="J450" t="s">
        <v>18</v>
      </c>
      <c r="K450">
        <v>2.8</v>
      </c>
      <c r="L450">
        <v>33.4</v>
      </c>
      <c r="M450" t="s">
        <v>18</v>
      </c>
      <c r="N450">
        <f>AVERAGEIF(Raw_Data!A:A, Raw_Data!A450, Raw_Data!D:D)</f>
        <v>7.0051282051282051</v>
      </c>
      <c r="O450" t="str">
        <f t="shared" ref="O450:P501" si="7">IF(G450&gt;70, "High Solar", IF(G450&lt;50, "Low Solar", "Medium Solar"))</f>
        <v>Medium Solar</v>
      </c>
    </row>
    <row r="451" spans="1:15">
      <c r="A451" t="s">
        <v>25</v>
      </c>
      <c r="B451">
        <v>10.1</v>
      </c>
      <c r="C451">
        <v>4798</v>
      </c>
      <c r="D451">
        <v>7.5</v>
      </c>
      <c r="E451" t="s">
        <v>23</v>
      </c>
      <c r="F451">
        <v>30</v>
      </c>
      <c r="G451">
        <v>45</v>
      </c>
      <c r="H451">
        <v>6</v>
      </c>
      <c r="I451">
        <v>36.5</v>
      </c>
      <c r="J451" t="s">
        <v>17</v>
      </c>
      <c r="K451">
        <v>3.2</v>
      </c>
      <c r="L451">
        <v>37.9</v>
      </c>
      <c r="M451" t="s">
        <v>21</v>
      </c>
      <c r="N451">
        <f>AVERAGEIF(Raw_Data!A:A, Raw_Data!A451, Raw_Data!D:D)</f>
        <v>7.0823529411764703</v>
      </c>
      <c r="O451" t="str">
        <f t="shared" si="7"/>
        <v>Low Solar</v>
      </c>
    </row>
    <row r="452" spans="1:15">
      <c r="A452" t="s">
        <v>25</v>
      </c>
      <c r="B452">
        <v>25</v>
      </c>
      <c r="C452">
        <v>2916</v>
      </c>
      <c r="D452">
        <v>9.3000000000000007</v>
      </c>
      <c r="E452" t="s">
        <v>28</v>
      </c>
      <c r="F452">
        <v>35</v>
      </c>
      <c r="G452">
        <v>72</v>
      </c>
      <c r="H452">
        <v>8</v>
      </c>
      <c r="I452">
        <v>18</v>
      </c>
      <c r="J452" t="s">
        <v>17</v>
      </c>
      <c r="K452">
        <v>9.6999999999999993</v>
      </c>
      <c r="L452">
        <v>116.3</v>
      </c>
      <c r="M452" t="s">
        <v>17</v>
      </c>
      <c r="N452">
        <f>AVERAGEIF(Raw_Data!A:A, Raw_Data!A452, Raw_Data!D:D)</f>
        <v>7.0823529411764703</v>
      </c>
      <c r="O452" t="str">
        <f t="shared" si="7"/>
        <v>High Solar</v>
      </c>
    </row>
    <row r="453" spans="1:15">
      <c r="A453" t="s">
        <v>27</v>
      </c>
      <c r="B453">
        <v>20.7</v>
      </c>
      <c r="C453">
        <v>2525</v>
      </c>
      <c r="D453">
        <v>6.5</v>
      </c>
      <c r="E453" t="s">
        <v>28</v>
      </c>
      <c r="F453">
        <v>30</v>
      </c>
      <c r="G453">
        <v>34</v>
      </c>
      <c r="H453">
        <v>9</v>
      </c>
      <c r="I453">
        <v>41</v>
      </c>
      <c r="J453" t="s">
        <v>17</v>
      </c>
      <c r="K453">
        <v>5.6</v>
      </c>
      <c r="L453">
        <v>67.3</v>
      </c>
      <c r="M453" t="s">
        <v>21</v>
      </c>
      <c r="N453">
        <f>AVERAGEIF(Raw_Data!A:A, Raw_Data!A453, Raw_Data!D:D)</f>
        <v>6.8347826086956527</v>
      </c>
      <c r="O453" t="str">
        <f t="shared" si="7"/>
        <v>Low Solar</v>
      </c>
    </row>
    <row r="454" spans="1:15">
      <c r="A454" t="s">
        <v>27</v>
      </c>
      <c r="B454">
        <v>3.1</v>
      </c>
      <c r="C454">
        <v>509</v>
      </c>
      <c r="D454">
        <v>6.1</v>
      </c>
      <c r="E454" t="s">
        <v>23</v>
      </c>
      <c r="F454">
        <v>27</v>
      </c>
      <c r="G454">
        <v>57</v>
      </c>
      <c r="H454">
        <v>5</v>
      </c>
      <c r="I454">
        <v>38.5</v>
      </c>
      <c r="J454" t="s">
        <v>17</v>
      </c>
      <c r="K454">
        <v>0.8</v>
      </c>
      <c r="L454">
        <v>9.5</v>
      </c>
      <c r="M454" t="s">
        <v>18</v>
      </c>
      <c r="N454">
        <f>AVERAGEIF(Raw_Data!A:A, Raw_Data!A454, Raw_Data!D:D)</f>
        <v>6.8347826086956527</v>
      </c>
      <c r="O454" t="str">
        <f t="shared" si="7"/>
        <v>Medium Solar</v>
      </c>
    </row>
    <row r="455" spans="1:15">
      <c r="A455" t="s">
        <v>25</v>
      </c>
      <c r="B455">
        <v>3.7</v>
      </c>
      <c r="C455">
        <v>442</v>
      </c>
      <c r="D455">
        <v>6.1</v>
      </c>
      <c r="E455" t="s">
        <v>16</v>
      </c>
      <c r="F455">
        <v>34</v>
      </c>
      <c r="G455">
        <v>58</v>
      </c>
      <c r="H455">
        <v>4</v>
      </c>
      <c r="I455">
        <v>41</v>
      </c>
      <c r="J455" t="s">
        <v>17</v>
      </c>
      <c r="K455">
        <v>0.9</v>
      </c>
      <c r="L455">
        <v>11.3</v>
      </c>
      <c r="M455" t="s">
        <v>18</v>
      </c>
      <c r="N455">
        <f>AVERAGEIF(Raw_Data!A:A, Raw_Data!A455, Raw_Data!D:D)</f>
        <v>7.0823529411764703</v>
      </c>
      <c r="O455" t="str">
        <f t="shared" si="7"/>
        <v>Medium Solar</v>
      </c>
    </row>
    <row r="456" spans="1:15">
      <c r="A456" t="s">
        <v>29</v>
      </c>
      <c r="B456">
        <v>23.1</v>
      </c>
      <c r="C456">
        <v>3810</v>
      </c>
      <c r="D456">
        <v>8.8000000000000007</v>
      </c>
      <c r="E456" t="s">
        <v>16</v>
      </c>
      <c r="F456">
        <v>32</v>
      </c>
      <c r="G456">
        <v>76</v>
      </c>
      <c r="H456">
        <v>7</v>
      </c>
      <c r="I456">
        <v>27</v>
      </c>
      <c r="J456" t="s">
        <v>17</v>
      </c>
      <c r="K456">
        <v>8.5</v>
      </c>
      <c r="L456">
        <v>101.6</v>
      </c>
      <c r="M456" t="s">
        <v>17</v>
      </c>
      <c r="N456">
        <f>AVERAGEIF(Raw_Data!A:A, Raw_Data!A456, Raw_Data!D:D)</f>
        <v>7.0571428571428561</v>
      </c>
      <c r="O456" t="str">
        <f t="shared" si="7"/>
        <v>High Solar</v>
      </c>
    </row>
    <row r="457" spans="1:15">
      <c r="A457" t="s">
        <v>30</v>
      </c>
      <c r="B457">
        <v>1.6</v>
      </c>
      <c r="C457">
        <v>649</v>
      </c>
      <c r="D457">
        <v>7.1</v>
      </c>
      <c r="E457" t="s">
        <v>20</v>
      </c>
      <c r="F457">
        <v>34</v>
      </c>
      <c r="G457">
        <v>57</v>
      </c>
      <c r="H457">
        <v>4</v>
      </c>
      <c r="I457">
        <v>36.5</v>
      </c>
      <c r="J457" t="s">
        <v>17</v>
      </c>
      <c r="K457">
        <v>0.5</v>
      </c>
      <c r="L457">
        <v>5.7</v>
      </c>
      <c r="M457" t="s">
        <v>18</v>
      </c>
      <c r="N457">
        <f>AVERAGEIF(Raw_Data!A:A, Raw_Data!A457, Raw_Data!D:D)</f>
        <v>7</v>
      </c>
      <c r="O457" t="str">
        <f t="shared" si="7"/>
        <v>Medium Solar</v>
      </c>
    </row>
    <row r="458" spans="1:15">
      <c r="A458" t="s">
        <v>36</v>
      </c>
      <c r="B458">
        <v>1.1000000000000001</v>
      </c>
      <c r="C458">
        <v>568</v>
      </c>
      <c r="D458">
        <v>9.6</v>
      </c>
      <c r="E458" t="s">
        <v>23</v>
      </c>
      <c r="F458">
        <v>37</v>
      </c>
      <c r="G458">
        <v>94</v>
      </c>
      <c r="H458">
        <v>3</v>
      </c>
      <c r="I458">
        <v>24</v>
      </c>
      <c r="J458" t="s">
        <v>17</v>
      </c>
      <c r="K458">
        <v>0.4</v>
      </c>
      <c r="L458">
        <v>5.3</v>
      </c>
      <c r="M458" t="s">
        <v>18</v>
      </c>
      <c r="N458">
        <f>AVERAGEIF(Raw_Data!A:A, Raw_Data!A458, Raw_Data!D:D)</f>
        <v>7.5260869565217385</v>
      </c>
      <c r="O458" t="str">
        <f t="shared" si="7"/>
        <v>High Solar</v>
      </c>
    </row>
    <row r="459" spans="1:15">
      <c r="A459" t="s">
        <v>35</v>
      </c>
      <c r="B459">
        <v>8.6999999999999993</v>
      </c>
      <c r="C459">
        <v>1197</v>
      </c>
      <c r="D459">
        <v>8.6999999999999993</v>
      </c>
      <c r="E459" t="s">
        <v>23</v>
      </c>
      <c r="F459">
        <v>31</v>
      </c>
      <c r="G459">
        <v>51</v>
      </c>
      <c r="H459">
        <v>6</v>
      </c>
      <c r="I459">
        <v>38.5</v>
      </c>
      <c r="J459" t="s">
        <v>17</v>
      </c>
      <c r="K459">
        <v>3.2</v>
      </c>
      <c r="L459">
        <v>37.799999999999997</v>
      </c>
      <c r="M459" t="s">
        <v>18</v>
      </c>
      <c r="N459">
        <f>AVERAGEIF(Raw_Data!A:A, Raw_Data!A459, Raw_Data!D:D)</f>
        <v>7.4206896551724144</v>
      </c>
      <c r="O459" t="str">
        <f t="shared" si="7"/>
        <v>Medium Solar</v>
      </c>
    </row>
    <row r="460" spans="1:15">
      <c r="A460" t="s">
        <v>35</v>
      </c>
      <c r="B460">
        <v>6.9</v>
      </c>
      <c r="C460">
        <v>1372</v>
      </c>
      <c r="D460">
        <v>8.6999999999999993</v>
      </c>
      <c r="E460" t="s">
        <v>20</v>
      </c>
      <c r="F460">
        <v>38</v>
      </c>
      <c r="G460">
        <v>73</v>
      </c>
      <c r="H460">
        <v>7</v>
      </c>
      <c r="I460">
        <v>22.5</v>
      </c>
      <c r="J460" t="s">
        <v>17</v>
      </c>
      <c r="K460">
        <v>2.5</v>
      </c>
      <c r="L460">
        <v>30</v>
      </c>
      <c r="M460" t="s">
        <v>17</v>
      </c>
      <c r="N460">
        <f>AVERAGEIF(Raw_Data!A:A, Raw_Data!A460, Raw_Data!D:D)</f>
        <v>7.4206896551724144</v>
      </c>
      <c r="O460" t="str">
        <f t="shared" si="7"/>
        <v>High Solar</v>
      </c>
    </row>
    <row r="461" spans="1:15">
      <c r="A461" t="s">
        <v>22</v>
      </c>
      <c r="B461">
        <v>11.9</v>
      </c>
      <c r="C461">
        <v>3656</v>
      </c>
      <c r="D461">
        <v>5.6</v>
      </c>
      <c r="E461" t="s">
        <v>16</v>
      </c>
      <c r="F461">
        <v>37</v>
      </c>
      <c r="G461">
        <v>87</v>
      </c>
      <c r="H461">
        <v>7</v>
      </c>
      <c r="I461">
        <v>20.5</v>
      </c>
      <c r="J461" t="s">
        <v>18</v>
      </c>
      <c r="K461">
        <v>2.8</v>
      </c>
      <c r="L461">
        <v>33.299999999999997</v>
      </c>
      <c r="M461" t="s">
        <v>17</v>
      </c>
      <c r="N461">
        <f>AVERAGEIF(Raw_Data!A:A, Raw_Data!A461, Raw_Data!D:D)</f>
        <v>7.0051282051282051</v>
      </c>
      <c r="O461" t="str">
        <f t="shared" si="7"/>
        <v>High Solar</v>
      </c>
    </row>
    <row r="462" spans="1:15">
      <c r="A462" t="s">
        <v>30</v>
      </c>
      <c r="B462">
        <v>11.8</v>
      </c>
      <c r="C462">
        <v>2682</v>
      </c>
      <c r="D462">
        <v>5.5</v>
      </c>
      <c r="E462" t="s">
        <v>16</v>
      </c>
      <c r="F462">
        <v>30</v>
      </c>
      <c r="G462">
        <v>47</v>
      </c>
      <c r="H462">
        <v>6</v>
      </c>
      <c r="I462">
        <v>35.5</v>
      </c>
      <c r="J462" t="s">
        <v>18</v>
      </c>
      <c r="K462">
        <v>2.7</v>
      </c>
      <c r="L462">
        <v>32.5</v>
      </c>
      <c r="M462" t="s">
        <v>21</v>
      </c>
      <c r="N462">
        <f>AVERAGEIF(Raw_Data!A:A, Raw_Data!A462, Raw_Data!D:D)</f>
        <v>7</v>
      </c>
      <c r="O462" t="str">
        <f t="shared" si="7"/>
        <v>Low Solar</v>
      </c>
    </row>
    <row r="463" spans="1:15">
      <c r="A463" t="s">
        <v>34</v>
      </c>
      <c r="B463">
        <v>23.1</v>
      </c>
      <c r="C463">
        <v>4881</v>
      </c>
      <c r="D463">
        <v>5</v>
      </c>
      <c r="E463" t="s">
        <v>28</v>
      </c>
      <c r="F463">
        <v>33</v>
      </c>
      <c r="G463">
        <v>72</v>
      </c>
      <c r="H463">
        <v>9</v>
      </c>
      <c r="I463">
        <v>19</v>
      </c>
      <c r="J463" t="s">
        <v>18</v>
      </c>
      <c r="K463">
        <v>4.8</v>
      </c>
      <c r="L463">
        <v>57.8</v>
      </c>
      <c r="M463" t="s">
        <v>17</v>
      </c>
      <c r="N463">
        <f>AVERAGEIF(Raw_Data!A:A, Raw_Data!A463, Raw_Data!D:D)</f>
        <v>7.4411764705882346</v>
      </c>
      <c r="O463" t="str">
        <f t="shared" si="7"/>
        <v>High Solar</v>
      </c>
    </row>
    <row r="464" spans="1:15">
      <c r="A464" t="s">
        <v>29</v>
      </c>
      <c r="B464">
        <v>1.7</v>
      </c>
      <c r="C464">
        <v>732</v>
      </c>
      <c r="D464">
        <v>7.5</v>
      </c>
      <c r="E464" t="s">
        <v>20</v>
      </c>
      <c r="F464">
        <v>30</v>
      </c>
      <c r="G464">
        <v>48</v>
      </c>
      <c r="H464">
        <v>5</v>
      </c>
      <c r="I464">
        <v>43</v>
      </c>
      <c r="J464" t="s">
        <v>17</v>
      </c>
      <c r="K464">
        <v>0.5</v>
      </c>
      <c r="L464">
        <v>6.4</v>
      </c>
      <c r="M464" t="s">
        <v>21</v>
      </c>
      <c r="N464">
        <f>AVERAGEIF(Raw_Data!A:A, Raw_Data!A464, Raw_Data!D:D)</f>
        <v>7.0571428571428561</v>
      </c>
      <c r="O464" t="str">
        <f t="shared" si="7"/>
        <v>Low Solar</v>
      </c>
    </row>
    <row r="465" spans="1:15">
      <c r="A465" t="s">
        <v>30</v>
      </c>
      <c r="B465">
        <v>3.5</v>
      </c>
      <c r="C465">
        <v>618</v>
      </c>
      <c r="D465">
        <v>6.1</v>
      </c>
      <c r="E465" t="s">
        <v>20</v>
      </c>
      <c r="F465">
        <v>34</v>
      </c>
      <c r="G465">
        <v>72</v>
      </c>
      <c r="H465">
        <v>4</v>
      </c>
      <c r="I465">
        <v>35</v>
      </c>
      <c r="J465" t="s">
        <v>17</v>
      </c>
      <c r="K465">
        <v>0.9</v>
      </c>
      <c r="L465">
        <v>10.7</v>
      </c>
      <c r="M465" t="s">
        <v>18</v>
      </c>
      <c r="N465">
        <f>AVERAGEIF(Raw_Data!A:A, Raw_Data!A465, Raw_Data!D:D)</f>
        <v>7</v>
      </c>
      <c r="O465" t="str">
        <f t="shared" si="7"/>
        <v>High Solar</v>
      </c>
    </row>
    <row r="466" spans="1:15">
      <c r="A466" t="s">
        <v>27</v>
      </c>
      <c r="B466">
        <v>21.4</v>
      </c>
      <c r="C466">
        <v>3646</v>
      </c>
      <c r="D466">
        <v>7.2</v>
      </c>
      <c r="E466" t="s">
        <v>20</v>
      </c>
      <c r="F466">
        <v>28</v>
      </c>
      <c r="G466">
        <v>47</v>
      </c>
      <c r="H466">
        <v>8</v>
      </c>
      <c r="I466">
        <v>35.5</v>
      </c>
      <c r="J466" t="s">
        <v>17</v>
      </c>
      <c r="K466">
        <v>6.4</v>
      </c>
      <c r="L466">
        <v>77</v>
      </c>
      <c r="M466" t="s">
        <v>21</v>
      </c>
      <c r="N466">
        <f>AVERAGEIF(Raw_Data!A:A, Raw_Data!A466, Raw_Data!D:D)</f>
        <v>6.8347826086956527</v>
      </c>
      <c r="O466" t="str">
        <f t="shared" si="7"/>
        <v>Low Solar</v>
      </c>
    </row>
    <row r="467" spans="1:15">
      <c r="A467" t="s">
        <v>34</v>
      </c>
      <c r="B467">
        <v>13.9</v>
      </c>
      <c r="C467">
        <v>4158</v>
      </c>
      <c r="D467">
        <v>4.0999999999999996</v>
      </c>
      <c r="E467" t="s">
        <v>20</v>
      </c>
      <c r="F467">
        <v>27</v>
      </c>
      <c r="G467">
        <v>64</v>
      </c>
      <c r="H467">
        <v>7</v>
      </c>
      <c r="I467">
        <v>29</v>
      </c>
      <c r="J467" t="s">
        <v>18</v>
      </c>
      <c r="K467">
        <v>2.4</v>
      </c>
      <c r="L467">
        <v>28.5</v>
      </c>
      <c r="M467" t="s">
        <v>18</v>
      </c>
      <c r="N467">
        <f>AVERAGEIF(Raw_Data!A:A, Raw_Data!A467, Raw_Data!D:D)</f>
        <v>7.4411764705882346</v>
      </c>
      <c r="O467" t="str">
        <f t="shared" si="7"/>
        <v>Medium Solar</v>
      </c>
    </row>
    <row r="468" spans="1:15">
      <c r="A468" t="s">
        <v>33</v>
      </c>
      <c r="B468">
        <v>21.2</v>
      </c>
      <c r="C468">
        <v>4332</v>
      </c>
      <c r="D468">
        <v>7.7</v>
      </c>
      <c r="E468" t="s">
        <v>23</v>
      </c>
      <c r="F468">
        <v>38</v>
      </c>
      <c r="G468">
        <v>73</v>
      </c>
      <c r="H468">
        <v>8</v>
      </c>
      <c r="I468">
        <v>19.5</v>
      </c>
      <c r="J468" t="s">
        <v>17</v>
      </c>
      <c r="K468">
        <v>6.8</v>
      </c>
      <c r="L468">
        <v>81.599999999999994</v>
      </c>
      <c r="M468" t="s">
        <v>17</v>
      </c>
      <c r="N468">
        <f>AVERAGEIF(Raw_Data!A:A, Raw_Data!A468, Raw_Data!D:D)</f>
        <v>7.1129032258064528</v>
      </c>
      <c r="O468" t="str">
        <f t="shared" si="7"/>
        <v>High Solar</v>
      </c>
    </row>
    <row r="469" spans="1:15">
      <c r="A469" t="s">
        <v>30</v>
      </c>
      <c r="B469">
        <v>4.2</v>
      </c>
      <c r="C469">
        <v>234</v>
      </c>
      <c r="D469">
        <v>5.0999999999999996</v>
      </c>
      <c r="E469" t="s">
        <v>20</v>
      </c>
      <c r="F469">
        <v>34</v>
      </c>
      <c r="G469">
        <v>51</v>
      </c>
      <c r="H469">
        <v>2</v>
      </c>
      <c r="I469">
        <v>45.5</v>
      </c>
      <c r="J469" t="s">
        <v>18</v>
      </c>
      <c r="K469">
        <v>0.9</v>
      </c>
      <c r="L469">
        <v>10.7</v>
      </c>
      <c r="M469" t="s">
        <v>18</v>
      </c>
      <c r="N469">
        <f>AVERAGEIF(Raw_Data!A:A, Raw_Data!A469, Raw_Data!D:D)</f>
        <v>7</v>
      </c>
      <c r="O469" t="str">
        <f t="shared" si="7"/>
        <v>Medium Solar</v>
      </c>
    </row>
    <row r="470" spans="1:15">
      <c r="A470" t="s">
        <v>27</v>
      </c>
      <c r="B470">
        <v>17.2</v>
      </c>
      <c r="C470">
        <v>4260</v>
      </c>
      <c r="D470">
        <v>9</v>
      </c>
      <c r="E470" t="s">
        <v>16</v>
      </c>
      <c r="F470">
        <v>40</v>
      </c>
      <c r="G470">
        <v>89</v>
      </c>
      <c r="H470">
        <v>7</v>
      </c>
      <c r="I470">
        <v>21.5</v>
      </c>
      <c r="J470" t="s">
        <v>17</v>
      </c>
      <c r="K470">
        <v>6.5</v>
      </c>
      <c r="L470">
        <v>77.400000000000006</v>
      </c>
      <c r="M470" t="s">
        <v>17</v>
      </c>
      <c r="N470">
        <f>AVERAGEIF(Raw_Data!A:A, Raw_Data!A470, Raw_Data!D:D)</f>
        <v>6.8347826086956527</v>
      </c>
      <c r="O470" t="str">
        <f t="shared" si="7"/>
        <v>High Solar</v>
      </c>
    </row>
    <row r="471" spans="1:15">
      <c r="A471" t="s">
        <v>25</v>
      </c>
      <c r="B471">
        <v>13.3</v>
      </c>
      <c r="C471">
        <v>3150</v>
      </c>
      <c r="D471">
        <v>9.3000000000000007</v>
      </c>
      <c r="E471" t="s">
        <v>16</v>
      </c>
      <c r="F471">
        <v>35</v>
      </c>
      <c r="G471">
        <v>59</v>
      </c>
      <c r="H471">
        <v>7</v>
      </c>
      <c r="I471">
        <v>34.5</v>
      </c>
      <c r="J471" t="s">
        <v>17</v>
      </c>
      <c r="K471">
        <v>5.2</v>
      </c>
      <c r="L471">
        <v>61.8</v>
      </c>
      <c r="M471" t="s">
        <v>18</v>
      </c>
      <c r="N471">
        <f>AVERAGEIF(Raw_Data!A:A, Raw_Data!A471, Raw_Data!D:D)</f>
        <v>7.0823529411764703</v>
      </c>
      <c r="O471" t="str">
        <f t="shared" si="7"/>
        <v>Medium Solar</v>
      </c>
    </row>
    <row r="472" spans="1:15">
      <c r="A472" t="s">
        <v>34</v>
      </c>
      <c r="B472">
        <v>13.2</v>
      </c>
      <c r="C472">
        <v>2504</v>
      </c>
      <c r="D472">
        <v>6.2</v>
      </c>
      <c r="E472" t="s">
        <v>23</v>
      </c>
      <c r="F472">
        <v>28</v>
      </c>
      <c r="G472">
        <v>40</v>
      </c>
      <c r="H472">
        <v>8</v>
      </c>
      <c r="I472">
        <v>36</v>
      </c>
      <c r="J472" t="s">
        <v>17</v>
      </c>
      <c r="K472">
        <v>3.4</v>
      </c>
      <c r="L472">
        <v>40.9</v>
      </c>
      <c r="M472" t="s">
        <v>21</v>
      </c>
      <c r="N472">
        <f>AVERAGEIF(Raw_Data!A:A, Raw_Data!A472, Raw_Data!D:D)</f>
        <v>7.4411764705882346</v>
      </c>
      <c r="O472" t="str">
        <f t="shared" si="7"/>
        <v>Low Solar</v>
      </c>
    </row>
    <row r="473" spans="1:15">
      <c r="A473" t="s">
        <v>26</v>
      </c>
      <c r="B473">
        <v>24.9</v>
      </c>
      <c r="C473">
        <v>2888</v>
      </c>
      <c r="D473">
        <v>4.8</v>
      </c>
      <c r="E473" t="s">
        <v>20</v>
      </c>
      <c r="F473">
        <v>25</v>
      </c>
      <c r="G473">
        <v>51</v>
      </c>
      <c r="H473">
        <v>7</v>
      </c>
      <c r="I473">
        <v>32.5</v>
      </c>
      <c r="J473" t="s">
        <v>18</v>
      </c>
      <c r="K473">
        <v>5</v>
      </c>
      <c r="L473">
        <v>59.8</v>
      </c>
      <c r="M473" t="s">
        <v>18</v>
      </c>
      <c r="N473">
        <f>AVERAGEIF(Raw_Data!A:A, Raw_Data!A473, Raw_Data!D:D)</f>
        <v>6.9771428571428586</v>
      </c>
      <c r="O473" t="str">
        <f t="shared" si="7"/>
        <v>Medium Solar</v>
      </c>
    </row>
    <row r="474" spans="1:15">
      <c r="A474" t="s">
        <v>33</v>
      </c>
      <c r="B474">
        <v>14.7</v>
      </c>
      <c r="C474">
        <v>2714</v>
      </c>
      <c r="D474">
        <v>8.8000000000000007</v>
      </c>
      <c r="E474" t="s">
        <v>16</v>
      </c>
      <c r="F474">
        <v>32</v>
      </c>
      <c r="G474">
        <v>68</v>
      </c>
      <c r="H474">
        <v>9</v>
      </c>
      <c r="I474">
        <v>21</v>
      </c>
      <c r="J474" t="s">
        <v>17</v>
      </c>
      <c r="K474">
        <v>5.4</v>
      </c>
      <c r="L474">
        <v>64.7</v>
      </c>
      <c r="M474" t="s">
        <v>18</v>
      </c>
      <c r="N474">
        <f>AVERAGEIF(Raw_Data!A:A, Raw_Data!A474, Raw_Data!D:D)</f>
        <v>7.1129032258064528</v>
      </c>
      <c r="O474" t="str">
        <f t="shared" si="7"/>
        <v>Medium Solar</v>
      </c>
    </row>
    <row r="475" spans="1:15">
      <c r="A475" t="s">
        <v>33</v>
      </c>
      <c r="B475">
        <v>20.399999999999999</v>
      </c>
      <c r="C475">
        <v>3627</v>
      </c>
      <c r="D475">
        <v>8.8000000000000007</v>
      </c>
      <c r="E475" t="s">
        <v>28</v>
      </c>
      <c r="F475">
        <v>45</v>
      </c>
      <c r="G475">
        <v>90</v>
      </c>
      <c r="H475">
        <v>7</v>
      </c>
      <c r="I475">
        <v>17</v>
      </c>
      <c r="J475" t="s">
        <v>17</v>
      </c>
      <c r="K475">
        <v>7.5</v>
      </c>
      <c r="L475">
        <v>89.8</v>
      </c>
      <c r="M475" t="s">
        <v>17</v>
      </c>
      <c r="N475">
        <f>AVERAGEIF(Raw_Data!A:A, Raw_Data!A475, Raw_Data!D:D)</f>
        <v>7.1129032258064528</v>
      </c>
      <c r="O475" t="str">
        <f t="shared" si="7"/>
        <v>High Solar</v>
      </c>
    </row>
    <row r="476" spans="1:15">
      <c r="A476" t="s">
        <v>29</v>
      </c>
      <c r="B476">
        <v>12.3</v>
      </c>
      <c r="C476">
        <v>2010</v>
      </c>
      <c r="D476">
        <v>8.4</v>
      </c>
      <c r="E476" t="s">
        <v>16</v>
      </c>
      <c r="F476">
        <v>29</v>
      </c>
      <c r="G476">
        <v>65</v>
      </c>
      <c r="H476">
        <v>8</v>
      </c>
      <c r="I476">
        <v>28.5</v>
      </c>
      <c r="J476" t="s">
        <v>17</v>
      </c>
      <c r="K476">
        <v>4.3</v>
      </c>
      <c r="L476">
        <v>51.7</v>
      </c>
      <c r="M476" t="s">
        <v>18</v>
      </c>
      <c r="N476">
        <f>AVERAGEIF(Raw_Data!A:A, Raw_Data!A476, Raw_Data!D:D)</f>
        <v>7.0571428571428561</v>
      </c>
      <c r="O476" t="str">
        <f t="shared" si="7"/>
        <v>Medium Solar</v>
      </c>
    </row>
    <row r="477" spans="1:15">
      <c r="A477" t="s">
        <v>37</v>
      </c>
      <c r="B477">
        <v>18.3</v>
      </c>
      <c r="C477">
        <v>3406</v>
      </c>
      <c r="D477">
        <v>9.3000000000000007</v>
      </c>
      <c r="E477" t="s">
        <v>20</v>
      </c>
      <c r="F477">
        <v>42</v>
      </c>
      <c r="G477">
        <v>72</v>
      </c>
      <c r="H477">
        <v>6</v>
      </c>
      <c r="I477">
        <v>24</v>
      </c>
      <c r="J477" t="s">
        <v>17</v>
      </c>
      <c r="K477">
        <v>7.1</v>
      </c>
      <c r="L477">
        <v>85.1</v>
      </c>
      <c r="M477" t="s">
        <v>17</v>
      </c>
      <c r="N477">
        <f>AVERAGEIF(Raw_Data!A:A, Raw_Data!A477, Raw_Data!D:D)</f>
        <v>6.7384615384615376</v>
      </c>
      <c r="O477" t="str">
        <f t="shared" si="7"/>
        <v>High Solar</v>
      </c>
    </row>
    <row r="478" spans="1:15">
      <c r="A478" t="s">
        <v>35</v>
      </c>
      <c r="B478">
        <v>3.6</v>
      </c>
      <c r="C478">
        <v>651</v>
      </c>
      <c r="D478">
        <v>9.8000000000000007</v>
      </c>
      <c r="E478" t="s">
        <v>20</v>
      </c>
      <c r="F478">
        <v>45</v>
      </c>
      <c r="G478">
        <v>95</v>
      </c>
      <c r="H478">
        <v>4</v>
      </c>
      <c r="I478">
        <v>14.5</v>
      </c>
      <c r="J478" t="s">
        <v>17</v>
      </c>
      <c r="K478">
        <v>1.5</v>
      </c>
      <c r="L478">
        <v>17.600000000000001</v>
      </c>
      <c r="M478" t="s">
        <v>18</v>
      </c>
      <c r="N478">
        <f>AVERAGEIF(Raw_Data!A:A, Raw_Data!A478, Raw_Data!D:D)</f>
        <v>7.4206896551724144</v>
      </c>
      <c r="O478" t="str">
        <f t="shared" si="7"/>
        <v>High Solar</v>
      </c>
    </row>
    <row r="479" spans="1:15">
      <c r="A479" t="s">
        <v>26</v>
      </c>
      <c r="B479">
        <v>7.6</v>
      </c>
      <c r="C479">
        <v>1020</v>
      </c>
      <c r="D479">
        <v>6.3</v>
      </c>
      <c r="E479" t="s">
        <v>20</v>
      </c>
      <c r="F479">
        <v>35</v>
      </c>
      <c r="G479">
        <v>75</v>
      </c>
      <c r="H479">
        <v>4</v>
      </c>
      <c r="I479">
        <v>26.5</v>
      </c>
      <c r="J479" t="s">
        <v>17</v>
      </c>
      <c r="K479">
        <v>2</v>
      </c>
      <c r="L479">
        <v>23.9</v>
      </c>
      <c r="M479" t="s">
        <v>18</v>
      </c>
      <c r="N479">
        <f>AVERAGEIF(Raw_Data!A:A, Raw_Data!A479, Raw_Data!D:D)</f>
        <v>6.9771428571428586</v>
      </c>
      <c r="O479" t="str">
        <f t="shared" si="7"/>
        <v>High Solar</v>
      </c>
    </row>
    <row r="480" spans="1:15">
      <c r="A480" t="s">
        <v>37</v>
      </c>
      <c r="B480">
        <v>10.4</v>
      </c>
      <c r="C480">
        <v>4625</v>
      </c>
      <c r="D480">
        <v>8.8000000000000007</v>
      </c>
      <c r="E480" t="s">
        <v>28</v>
      </c>
      <c r="F480">
        <v>32</v>
      </c>
      <c r="G480">
        <v>65</v>
      </c>
      <c r="H480">
        <v>8</v>
      </c>
      <c r="I480">
        <v>26.5</v>
      </c>
      <c r="J480" t="s">
        <v>17</v>
      </c>
      <c r="K480">
        <v>3.8</v>
      </c>
      <c r="L480">
        <v>45.8</v>
      </c>
      <c r="M480" t="s">
        <v>18</v>
      </c>
      <c r="N480">
        <f>AVERAGEIF(Raw_Data!A:A, Raw_Data!A480, Raw_Data!D:D)</f>
        <v>6.7384615384615376</v>
      </c>
      <c r="O480" t="str">
        <f t="shared" si="7"/>
        <v>Medium Solar</v>
      </c>
    </row>
    <row r="481" spans="1:15">
      <c r="A481" t="s">
        <v>24</v>
      </c>
      <c r="B481">
        <v>17.899999999999999</v>
      </c>
      <c r="C481">
        <v>3238</v>
      </c>
      <c r="D481">
        <v>8.5</v>
      </c>
      <c r="E481" t="s">
        <v>20</v>
      </c>
      <c r="F481">
        <v>30</v>
      </c>
      <c r="G481">
        <v>44</v>
      </c>
      <c r="H481">
        <v>9</v>
      </c>
      <c r="I481">
        <v>30</v>
      </c>
      <c r="J481" t="s">
        <v>17</v>
      </c>
      <c r="K481">
        <v>6.3</v>
      </c>
      <c r="L481">
        <v>76.099999999999994</v>
      </c>
      <c r="M481" t="s">
        <v>21</v>
      </c>
      <c r="N481">
        <f>AVERAGEIF(Raw_Data!A:A, Raw_Data!A481, Raw_Data!D:D)</f>
        <v>7.0352941176470587</v>
      </c>
      <c r="O481" t="str">
        <f t="shared" si="7"/>
        <v>Low Solar</v>
      </c>
    </row>
    <row r="482" spans="1:15">
      <c r="A482" t="s">
        <v>25</v>
      </c>
      <c r="B482">
        <v>7.1</v>
      </c>
      <c r="C482">
        <v>1419</v>
      </c>
      <c r="D482">
        <v>4.2</v>
      </c>
      <c r="E482" t="s">
        <v>20</v>
      </c>
      <c r="F482">
        <v>28</v>
      </c>
      <c r="G482">
        <v>53</v>
      </c>
      <c r="H482">
        <v>4</v>
      </c>
      <c r="I482">
        <v>43.5</v>
      </c>
      <c r="J482" t="s">
        <v>18</v>
      </c>
      <c r="K482">
        <v>1.2</v>
      </c>
      <c r="L482">
        <v>14.9</v>
      </c>
      <c r="M482" t="s">
        <v>18</v>
      </c>
      <c r="N482">
        <f>AVERAGEIF(Raw_Data!A:A, Raw_Data!A482, Raw_Data!D:D)</f>
        <v>7.0823529411764703</v>
      </c>
      <c r="O482" t="str">
        <f t="shared" si="7"/>
        <v>Medium Solar</v>
      </c>
    </row>
    <row r="483" spans="1:15">
      <c r="A483" t="s">
        <v>25</v>
      </c>
      <c r="B483">
        <v>20.7</v>
      </c>
      <c r="C483">
        <v>4129</v>
      </c>
      <c r="D483">
        <v>6.1</v>
      </c>
      <c r="E483" t="s">
        <v>20</v>
      </c>
      <c r="F483">
        <v>34</v>
      </c>
      <c r="G483">
        <v>60</v>
      </c>
      <c r="H483">
        <v>8</v>
      </c>
      <c r="I483">
        <v>27</v>
      </c>
      <c r="J483" t="s">
        <v>17</v>
      </c>
      <c r="K483">
        <v>5.3</v>
      </c>
      <c r="L483">
        <v>63.1</v>
      </c>
      <c r="M483" t="s">
        <v>18</v>
      </c>
      <c r="N483">
        <f>AVERAGEIF(Raw_Data!A:A, Raw_Data!A483, Raw_Data!D:D)</f>
        <v>7.0823529411764703</v>
      </c>
      <c r="O483" t="str">
        <f t="shared" si="7"/>
        <v>Medium Solar</v>
      </c>
    </row>
    <row r="484" spans="1:15">
      <c r="A484" t="s">
        <v>22</v>
      </c>
      <c r="B484">
        <v>18.7</v>
      </c>
      <c r="C484">
        <v>2127</v>
      </c>
      <c r="D484">
        <v>8.1</v>
      </c>
      <c r="E484" t="s">
        <v>23</v>
      </c>
      <c r="F484">
        <v>34</v>
      </c>
      <c r="G484">
        <v>51</v>
      </c>
      <c r="H484">
        <v>7</v>
      </c>
      <c r="I484">
        <v>37.5</v>
      </c>
      <c r="J484" t="s">
        <v>17</v>
      </c>
      <c r="K484">
        <v>6.3</v>
      </c>
      <c r="L484">
        <v>75.7</v>
      </c>
      <c r="M484" t="s">
        <v>18</v>
      </c>
      <c r="N484">
        <f>AVERAGEIF(Raw_Data!A:A, Raw_Data!A484, Raw_Data!D:D)</f>
        <v>7.0051282051282051</v>
      </c>
      <c r="O484" t="str">
        <f t="shared" si="7"/>
        <v>Medium Solar</v>
      </c>
    </row>
    <row r="485" spans="1:15">
      <c r="A485" t="s">
        <v>27</v>
      </c>
      <c r="B485">
        <v>1.2</v>
      </c>
      <c r="C485">
        <v>552</v>
      </c>
      <c r="D485">
        <v>5.8</v>
      </c>
      <c r="E485" t="s">
        <v>23</v>
      </c>
      <c r="F485">
        <v>32</v>
      </c>
      <c r="G485">
        <v>59</v>
      </c>
      <c r="H485">
        <v>2</v>
      </c>
      <c r="I485">
        <v>41.5</v>
      </c>
      <c r="J485" t="s">
        <v>18</v>
      </c>
      <c r="K485">
        <v>0.3</v>
      </c>
      <c r="L485">
        <v>3.5</v>
      </c>
      <c r="M485" t="s">
        <v>18</v>
      </c>
      <c r="N485">
        <f>AVERAGEIF(Raw_Data!A:A, Raw_Data!A485, Raw_Data!D:D)</f>
        <v>6.8347826086956527</v>
      </c>
      <c r="O485" t="str">
        <f t="shared" si="7"/>
        <v>Medium Solar</v>
      </c>
    </row>
    <row r="486" spans="1:15">
      <c r="A486" t="s">
        <v>31</v>
      </c>
      <c r="B486">
        <v>8.5</v>
      </c>
      <c r="C486">
        <v>1356</v>
      </c>
      <c r="D486">
        <v>8.6999999999999993</v>
      </c>
      <c r="E486" t="s">
        <v>16</v>
      </c>
      <c r="F486">
        <v>31</v>
      </c>
      <c r="G486">
        <v>67</v>
      </c>
      <c r="H486">
        <v>5</v>
      </c>
      <c r="I486">
        <v>31.5</v>
      </c>
      <c r="J486" t="s">
        <v>17</v>
      </c>
      <c r="K486">
        <v>3.1</v>
      </c>
      <c r="L486">
        <v>37</v>
      </c>
      <c r="M486" t="s">
        <v>18</v>
      </c>
      <c r="N486">
        <f>AVERAGEIF(Raw_Data!A:A, Raw_Data!A486, Raw_Data!D:D)</f>
        <v>6.5849999999999991</v>
      </c>
      <c r="O486" t="str">
        <f t="shared" si="7"/>
        <v>Medium Solar</v>
      </c>
    </row>
    <row r="487" spans="1:15">
      <c r="A487" t="s">
        <v>22</v>
      </c>
      <c r="B487">
        <v>22.8</v>
      </c>
      <c r="C487">
        <v>4758</v>
      </c>
      <c r="D487">
        <v>6.8</v>
      </c>
      <c r="E487" t="s">
        <v>20</v>
      </c>
      <c r="F487">
        <v>25</v>
      </c>
      <c r="G487">
        <v>57</v>
      </c>
      <c r="H487">
        <v>9</v>
      </c>
      <c r="I487">
        <v>28.5</v>
      </c>
      <c r="J487" t="s">
        <v>17</v>
      </c>
      <c r="K487">
        <v>6.5</v>
      </c>
      <c r="L487">
        <v>77.5</v>
      </c>
      <c r="M487" t="s">
        <v>18</v>
      </c>
      <c r="N487">
        <f>AVERAGEIF(Raw_Data!A:A, Raw_Data!A487, Raw_Data!D:D)</f>
        <v>7.0051282051282051</v>
      </c>
      <c r="O487" t="str">
        <f t="shared" si="7"/>
        <v>Medium Solar</v>
      </c>
    </row>
    <row r="488" spans="1:15">
      <c r="A488" t="s">
        <v>22</v>
      </c>
      <c r="B488">
        <v>13.7</v>
      </c>
      <c r="C488">
        <v>2152</v>
      </c>
      <c r="D488">
        <v>8.5</v>
      </c>
      <c r="E488" t="s">
        <v>16</v>
      </c>
      <c r="F488">
        <v>30</v>
      </c>
      <c r="G488">
        <v>44</v>
      </c>
      <c r="H488">
        <v>6</v>
      </c>
      <c r="I488">
        <v>38</v>
      </c>
      <c r="J488" t="s">
        <v>17</v>
      </c>
      <c r="K488">
        <v>4.9000000000000004</v>
      </c>
      <c r="L488">
        <v>58.2</v>
      </c>
      <c r="M488" t="s">
        <v>21</v>
      </c>
      <c r="N488">
        <f>AVERAGEIF(Raw_Data!A:A, Raw_Data!A488, Raw_Data!D:D)</f>
        <v>7.0051282051282051</v>
      </c>
      <c r="O488" t="str">
        <f t="shared" si="7"/>
        <v>Low Solar</v>
      </c>
    </row>
    <row r="489" spans="1:15">
      <c r="A489" t="s">
        <v>34</v>
      </c>
      <c r="B489">
        <v>11.9</v>
      </c>
      <c r="C489">
        <v>2874</v>
      </c>
      <c r="D489">
        <v>4.4000000000000004</v>
      </c>
      <c r="E489" t="s">
        <v>16</v>
      </c>
      <c r="F489">
        <v>29</v>
      </c>
      <c r="G489">
        <v>45</v>
      </c>
      <c r="H489">
        <v>7</v>
      </c>
      <c r="I489">
        <v>43.5</v>
      </c>
      <c r="J489" t="s">
        <v>18</v>
      </c>
      <c r="K489">
        <v>2.2000000000000002</v>
      </c>
      <c r="L489">
        <v>26.2</v>
      </c>
      <c r="M489" t="s">
        <v>21</v>
      </c>
      <c r="N489">
        <f>AVERAGEIF(Raw_Data!A:A, Raw_Data!A489, Raw_Data!D:D)</f>
        <v>7.4411764705882346</v>
      </c>
      <c r="O489" t="str">
        <f t="shared" si="7"/>
        <v>Low Solar</v>
      </c>
    </row>
    <row r="490" spans="1:15">
      <c r="A490" t="s">
        <v>33</v>
      </c>
      <c r="B490">
        <v>8.3000000000000007</v>
      </c>
      <c r="C490">
        <v>1262</v>
      </c>
      <c r="D490">
        <v>6.3</v>
      </c>
      <c r="E490" t="s">
        <v>16</v>
      </c>
      <c r="F490">
        <v>35</v>
      </c>
      <c r="G490">
        <v>55</v>
      </c>
      <c r="H490">
        <v>4</v>
      </c>
      <c r="I490">
        <v>44.5</v>
      </c>
      <c r="J490" t="s">
        <v>17</v>
      </c>
      <c r="K490">
        <v>2.2000000000000002</v>
      </c>
      <c r="L490">
        <v>26.1</v>
      </c>
      <c r="M490" t="s">
        <v>18</v>
      </c>
      <c r="N490">
        <f>AVERAGEIF(Raw_Data!A:A, Raw_Data!A490, Raw_Data!D:D)</f>
        <v>7.1129032258064528</v>
      </c>
      <c r="O490" t="str">
        <f t="shared" si="7"/>
        <v>Medium Solar</v>
      </c>
    </row>
    <row r="491" spans="1:15">
      <c r="A491" t="s">
        <v>22</v>
      </c>
      <c r="B491">
        <v>20.3</v>
      </c>
      <c r="C491">
        <v>4611</v>
      </c>
      <c r="D491">
        <v>7.7</v>
      </c>
      <c r="E491" t="s">
        <v>20</v>
      </c>
      <c r="F491">
        <v>31</v>
      </c>
      <c r="G491">
        <v>55</v>
      </c>
      <c r="H491">
        <v>6</v>
      </c>
      <c r="I491">
        <v>40.5</v>
      </c>
      <c r="J491" t="s">
        <v>17</v>
      </c>
      <c r="K491">
        <v>6.5</v>
      </c>
      <c r="L491">
        <v>78.2</v>
      </c>
      <c r="M491" t="s">
        <v>18</v>
      </c>
      <c r="N491">
        <f>AVERAGEIF(Raw_Data!A:A, Raw_Data!A491, Raw_Data!D:D)</f>
        <v>7.0051282051282051</v>
      </c>
      <c r="O491" t="str">
        <f t="shared" si="7"/>
        <v>Medium Solar</v>
      </c>
    </row>
    <row r="492" spans="1:15">
      <c r="A492" t="s">
        <v>24</v>
      </c>
      <c r="B492">
        <v>16.5</v>
      </c>
      <c r="C492">
        <v>3524</v>
      </c>
      <c r="D492">
        <v>6.1</v>
      </c>
      <c r="E492" t="s">
        <v>20</v>
      </c>
      <c r="F492">
        <v>27</v>
      </c>
      <c r="G492">
        <v>45</v>
      </c>
      <c r="H492">
        <v>8</v>
      </c>
      <c r="I492">
        <v>32.5</v>
      </c>
      <c r="J492" t="s">
        <v>17</v>
      </c>
      <c r="K492">
        <v>4.2</v>
      </c>
      <c r="L492">
        <v>50.3</v>
      </c>
      <c r="M492" t="s">
        <v>21</v>
      </c>
      <c r="N492">
        <f>AVERAGEIF(Raw_Data!A:A, Raw_Data!A492, Raw_Data!D:D)</f>
        <v>7.0352941176470587</v>
      </c>
      <c r="O492" t="str">
        <f t="shared" si="7"/>
        <v>Low Solar</v>
      </c>
    </row>
    <row r="493" spans="1:15">
      <c r="A493" t="s">
        <v>30</v>
      </c>
      <c r="B493">
        <v>12.7</v>
      </c>
      <c r="C493">
        <v>2614</v>
      </c>
      <c r="D493">
        <v>5.8</v>
      </c>
      <c r="E493" t="s">
        <v>16</v>
      </c>
      <c r="F493">
        <v>32</v>
      </c>
      <c r="G493">
        <v>69</v>
      </c>
      <c r="H493">
        <v>9</v>
      </c>
      <c r="I493">
        <v>27.5</v>
      </c>
      <c r="J493" t="s">
        <v>18</v>
      </c>
      <c r="K493">
        <v>3.1</v>
      </c>
      <c r="L493">
        <v>36.799999999999997</v>
      </c>
      <c r="M493" t="s">
        <v>18</v>
      </c>
      <c r="N493">
        <f>AVERAGEIF(Raw_Data!A:A, Raw_Data!A493, Raw_Data!D:D)</f>
        <v>7</v>
      </c>
      <c r="O493" t="str">
        <f t="shared" si="7"/>
        <v>Medium Solar</v>
      </c>
    </row>
    <row r="494" spans="1:15">
      <c r="A494" t="s">
        <v>29</v>
      </c>
      <c r="B494">
        <v>24.6</v>
      </c>
      <c r="C494">
        <v>3185</v>
      </c>
      <c r="D494">
        <v>9.6999999999999993</v>
      </c>
      <c r="E494" t="s">
        <v>28</v>
      </c>
      <c r="F494">
        <v>38</v>
      </c>
      <c r="G494">
        <v>76</v>
      </c>
      <c r="H494">
        <v>8</v>
      </c>
      <c r="I494">
        <v>26</v>
      </c>
      <c r="J494" t="s">
        <v>17</v>
      </c>
      <c r="K494">
        <v>9.9</v>
      </c>
      <c r="L494">
        <v>119.3</v>
      </c>
      <c r="M494" t="s">
        <v>17</v>
      </c>
      <c r="N494">
        <f>AVERAGEIF(Raw_Data!A:A, Raw_Data!A494, Raw_Data!D:D)</f>
        <v>7.0571428571428561</v>
      </c>
      <c r="O494" t="str">
        <f t="shared" si="7"/>
        <v>High Solar</v>
      </c>
    </row>
    <row r="495" spans="1:15">
      <c r="A495" t="s">
        <v>25</v>
      </c>
      <c r="B495">
        <v>9.1</v>
      </c>
      <c r="C495">
        <v>1171</v>
      </c>
      <c r="D495">
        <v>8.3000000000000007</v>
      </c>
      <c r="E495" t="s">
        <v>20</v>
      </c>
      <c r="F495">
        <v>42</v>
      </c>
      <c r="G495">
        <v>70</v>
      </c>
      <c r="H495">
        <v>6</v>
      </c>
      <c r="I495">
        <v>26</v>
      </c>
      <c r="J495" t="s">
        <v>17</v>
      </c>
      <c r="K495">
        <v>3.1</v>
      </c>
      <c r="L495">
        <v>37.799999999999997</v>
      </c>
      <c r="M495" t="s">
        <v>18</v>
      </c>
      <c r="N495">
        <f>AVERAGEIF(Raw_Data!A:A, Raw_Data!A495, Raw_Data!D:D)</f>
        <v>7.0823529411764703</v>
      </c>
      <c r="O495" t="str">
        <f t="shared" si="7"/>
        <v>Medium Solar</v>
      </c>
    </row>
    <row r="496" spans="1:15">
      <c r="A496" t="s">
        <v>37</v>
      </c>
      <c r="B496">
        <v>3.8</v>
      </c>
      <c r="C496">
        <v>373</v>
      </c>
      <c r="D496">
        <v>4.7</v>
      </c>
      <c r="E496" t="s">
        <v>20</v>
      </c>
      <c r="F496">
        <v>31</v>
      </c>
      <c r="G496">
        <v>62</v>
      </c>
      <c r="H496">
        <v>3</v>
      </c>
      <c r="I496">
        <v>37</v>
      </c>
      <c r="J496" t="s">
        <v>18</v>
      </c>
      <c r="K496">
        <v>0.7</v>
      </c>
      <c r="L496">
        <v>8.9</v>
      </c>
      <c r="M496" t="s">
        <v>18</v>
      </c>
      <c r="N496">
        <f>AVERAGEIF(Raw_Data!A:A, Raw_Data!A496, Raw_Data!D:D)</f>
        <v>6.7384615384615376</v>
      </c>
      <c r="O496" t="str">
        <f t="shared" si="7"/>
        <v>Medium Solar</v>
      </c>
    </row>
    <row r="497" spans="1:15">
      <c r="A497" t="s">
        <v>27</v>
      </c>
      <c r="B497">
        <v>16.399999999999999</v>
      </c>
      <c r="C497">
        <v>4943</v>
      </c>
      <c r="D497">
        <v>7.3</v>
      </c>
      <c r="E497" t="s">
        <v>28</v>
      </c>
      <c r="F497">
        <v>35</v>
      </c>
      <c r="G497">
        <v>55</v>
      </c>
      <c r="H497">
        <v>9</v>
      </c>
      <c r="I497">
        <v>32.5</v>
      </c>
      <c r="J497" t="s">
        <v>17</v>
      </c>
      <c r="K497">
        <v>5</v>
      </c>
      <c r="L497">
        <v>59.9</v>
      </c>
      <c r="M497" t="s">
        <v>18</v>
      </c>
      <c r="N497">
        <f>AVERAGEIF(Raw_Data!A:A, Raw_Data!A497, Raw_Data!D:D)</f>
        <v>6.8347826086956527</v>
      </c>
      <c r="O497" t="str">
        <f t="shared" si="7"/>
        <v>Medium Solar</v>
      </c>
    </row>
    <row r="498" spans="1:15">
      <c r="A498" t="s">
        <v>30</v>
      </c>
      <c r="B498">
        <v>3</v>
      </c>
      <c r="C498">
        <v>512</v>
      </c>
      <c r="D498">
        <v>10</v>
      </c>
      <c r="E498" t="s">
        <v>28</v>
      </c>
      <c r="F498">
        <v>40</v>
      </c>
      <c r="G498">
        <v>87</v>
      </c>
      <c r="H498">
        <v>5</v>
      </c>
      <c r="I498">
        <v>18.5</v>
      </c>
      <c r="J498" t="s">
        <v>17</v>
      </c>
      <c r="K498">
        <v>1.3</v>
      </c>
      <c r="L498">
        <v>15</v>
      </c>
      <c r="M498" t="s">
        <v>18</v>
      </c>
      <c r="N498">
        <f>AVERAGEIF(Raw_Data!A:A, Raw_Data!A498, Raw_Data!D:D)</f>
        <v>7</v>
      </c>
      <c r="O498" t="str">
        <f t="shared" si="7"/>
        <v>High Solar</v>
      </c>
    </row>
    <row r="499" spans="1:15">
      <c r="A499" t="s">
        <v>36</v>
      </c>
      <c r="B499">
        <v>13</v>
      </c>
      <c r="C499">
        <v>4776</v>
      </c>
      <c r="D499">
        <v>9.8000000000000007</v>
      </c>
      <c r="E499" t="s">
        <v>20</v>
      </c>
      <c r="F499">
        <v>45</v>
      </c>
      <c r="G499">
        <v>92</v>
      </c>
      <c r="H499">
        <v>7</v>
      </c>
      <c r="I499">
        <v>17</v>
      </c>
      <c r="J499" t="s">
        <v>17</v>
      </c>
      <c r="K499">
        <v>5.3</v>
      </c>
      <c r="L499">
        <v>63.7</v>
      </c>
      <c r="M499" t="s">
        <v>17</v>
      </c>
      <c r="N499">
        <f>AVERAGEIF(Raw_Data!A:A, Raw_Data!A499, Raw_Data!D:D)</f>
        <v>7.5260869565217385</v>
      </c>
      <c r="O499" t="str">
        <f t="shared" si="7"/>
        <v>High Solar</v>
      </c>
    </row>
    <row r="500" spans="1:15">
      <c r="A500" t="s">
        <v>36</v>
      </c>
      <c r="B500">
        <v>9.6999999999999993</v>
      </c>
      <c r="C500">
        <v>839</v>
      </c>
      <c r="D500">
        <v>9.6</v>
      </c>
      <c r="E500" t="s">
        <v>23</v>
      </c>
      <c r="F500">
        <v>37</v>
      </c>
      <c r="G500">
        <v>71</v>
      </c>
      <c r="H500">
        <v>7</v>
      </c>
      <c r="I500">
        <v>20.5</v>
      </c>
      <c r="J500" t="s">
        <v>17</v>
      </c>
      <c r="K500">
        <v>3.9</v>
      </c>
      <c r="L500">
        <v>46.6</v>
      </c>
      <c r="M500" t="s">
        <v>17</v>
      </c>
      <c r="N500">
        <f>AVERAGEIF(Raw_Data!A:A, Raw_Data!A500, Raw_Data!D:D)</f>
        <v>7.5260869565217385</v>
      </c>
      <c r="O500" t="str">
        <f t="shared" si="7"/>
        <v>High Solar</v>
      </c>
    </row>
    <row r="501" spans="1:15">
      <c r="A501" t="s">
        <v>37</v>
      </c>
      <c r="B501">
        <v>12.7</v>
      </c>
      <c r="C501">
        <v>3122</v>
      </c>
      <c r="D501">
        <v>4.8</v>
      </c>
      <c r="E501" t="s">
        <v>20</v>
      </c>
      <c r="F501">
        <v>25</v>
      </c>
      <c r="G501">
        <v>37</v>
      </c>
      <c r="H501">
        <v>6</v>
      </c>
      <c r="I501">
        <v>43.5</v>
      </c>
      <c r="J501" t="s">
        <v>18</v>
      </c>
      <c r="K501">
        <v>2.5</v>
      </c>
      <c r="L501">
        <v>30.5</v>
      </c>
      <c r="M501" t="s">
        <v>21</v>
      </c>
      <c r="N501">
        <f>AVERAGEIF(Raw_Data!A:A, Raw_Data!A501, Raw_Data!D:D)</f>
        <v>6.7384615384615376</v>
      </c>
      <c r="O501" t="str">
        <f t="shared" si="7"/>
        <v>Low Solar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1CC1-35E5-4FE5-898D-D9FB36BFA4E3}">
  <dimension ref="A1:F39"/>
  <sheetViews>
    <sheetView topLeftCell="A6" workbookViewId="0">
      <selection activeCell="H19" sqref="H19"/>
    </sheetView>
  </sheetViews>
  <sheetFormatPr defaultRowHeight="15"/>
  <cols>
    <col min="1" max="1" width="49" bestFit="1" customWidth="1"/>
    <col min="2" max="2" width="14.7109375" bestFit="1" customWidth="1"/>
    <col min="3" max="3" width="15" bestFit="1" customWidth="1"/>
    <col min="4" max="4" width="14.5703125" bestFit="1" customWidth="1"/>
    <col min="5" max="5" width="19.42578125" bestFit="1" customWidth="1"/>
    <col min="6" max="6" width="10.5703125" bestFit="1" customWidth="1"/>
  </cols>
  <sheetData>
    <row r="1" spans="1:6">
      <c r="A1" t="s">
        <v>38</v>
      </c>
    </row>
    <row r="3" spans="1:6">
      <c r="A3" t="s">
        <v>39</v>
      </c>
      <c r="B3" t="s">
        <v>3</v>
      </c>
      <c r="C3" t="s">
        <v>5</v>
      </c>
      <c r="D3" t="s">
        <v>40</v>
      </c>
      <c r="E3" t="s">
        <v>7</v>
      </c>
    </row>
    <row r="4" spans="1:6">
      <c r="A4">
        <f>AVERAGE(Raw_Data!D:D)</f>
        <v>7.0363999999999942</v>
      </c>
      <c r="B4">
        <f>AVERAGE(Raw_Data!D:D)</f>
        <v>7.0363999999999942</v>
      </c>
      <c r="C4">
        <f>AVERAGE(Raw_Data!F:F)</f>
        <v>33.276000000000003</v>
      </c>
      <c r="D4">
        <f>AVERAGE(Raw_Data!G:G)</f>
        <v>64.823999999999998</v>
      </c>
      <c r="E4">
        <f>AVERAGE(Raw_Data!H:H)</f>
        <v>6.2960000000000003</v>
      </c>
    </row>
    <row r="5" spans="1:6">
      <c r="A5">
        <f>MEDIAN(Raw_Data!D:D)</f>
        <v>7.1</v>
      </c>
      <c r="B5">
        <f>MEDIAN(Raw_Data!D:D)</f>
        <v>7.1</v>
      </c>
      <c r="C5">
        <f>MEDIAN(Raw_Data!F:F)</f>
        <v>32</v>
      </c>
      <c r="D5">
        <f>MEDIAN(Raw_Data!G:G)</f>
        <v>64</v>
      </c>
      <c r="E5">
        <f>MEDIAN(Raw_Data!H:H)</f>
        <v>6</v>
      </c>
    </row>
    <row r="6" spans="1:6">
      <c r="A6">
        <f>_xlfn.STDEV.P(Raw_Data!D:D)</f>
        <v>1.6450030516689356</v>
      </c>
      <c r="B6">
        <f>_xlfn.STDEV.P(Raw_Data!D:D)</f>
        <v>1.6450030516689356</v>
      </c>
      <c r="C6">
        <f>_xlfn.STDEV.P(Raw_Data!F:F)</f>
        <v>5.3650558244998718</v>
      </c>
      <c r="D6">
        <f>_xlfn.STDEV.P(Raw_Data!G:G)</f>
        <v>16.306471844025612</v>
      </c>
      <c r="E6">
        <f>_xlfn.STDEV.P(Raw_Data!H:H)</f>
        <v>1.8783993185688712</v>
      </c>
    </row>
    <row r="7" spans="1:6">
      <c r="A7">
        <f>MIN(Raw_Data!D:D)</f>
        <v>3.8</v>
      </c>
      <c r="B7">
        <f>MIN(Raw_Data!D:D)</f>
        <v>3.8</v>
      </c>
      <c r="C7">
        <f>MIN(Raw_Data!F:F)</f>
        <v>25</v>
      </c>
      <c r="D7">
        <f>MIN(Raw_Data!G:G)</f>
        <v>30</v>
      </c>
      <c r="E7">
        <f>MIN(Raw_Data!H:H)</f>
        <v>2</v>
      </c>
    </row>
    <row r="8" spans="1:6">
      <c r="A8">
        <f>MAX(Raw_Data!D:D)</f>
        <v>10.8</v>
      </c>
      <c r="B8">
        <f>MAX(Raw_Data!D:D)</f>
        <v>10.8</v>
      </c>
      <c r="C8">
        <f>MAX(Raw_Data!F:F)</f>
        <v>45</v>
      </c>
      <c r="D8">
        <f>MAX(Raw_Data!G:G)</f>
        <v>95</v>
      </c>
      <c r="E8">
        <f>MAX(Raw_Data!H:H)</f>
        <v>9</v>
      </c>
    </row>
    <row r="9" spans="1:6">
      <c r="A9">
        <f>COUNT(Raw_Data!D:D)</f>
        <v>500</v>
      </c>
      <c r="B9">
        <f>COUNT(Raw_Data!D:D)</f>
        <v>500</v>
      </c>
      <c r="C9">
        <f>COUNT(Raw_Data!F:F)</f>
        <v>500</v>
      </c>
      <c r="D9">
        <f>COUNT(Raw_Data!G:G)</f>
        <v>500</v>
      </c>
      <c r="E9">
        <f>COUNT(Raw_Data!H:H)</f>
        <v>500</v>
      </c>
    </row>
    <row r="14" spans="1:6">
      <c r="B14" t="s">
        <v>41</v>
      </c>
      <c r="C14" t="s">
        <v>42</v>
      </c>
      <c r="D14" t="s">
        <v>23</v>
      </c>
      <c r="E14" t="s">
        <v>43</v>
      </c>
      <c r="F14" t="s">
        <v>44</v>
      </c>
    </row>
    <row r="15" spans="1:6">
      <c r="A15" t="s">
        <v>41</v>
      </c>
      <c r="B15">
        <f>CORREL(Raw_Data!D:D, Raw_Data!D:D)</f>
        <v>1</v>
      </c>
      <c r="C15" s="3">
        <f>CORREL(Raw_Data!D:D, Raw_Data!F:F)</f>
        <v>0.51919283450106857</v>
      </c>
      <c r="D15" s="3">
        <f>CORREL(Raw_Data!D:D, Raw_Data!G:G)</f>
        <v>0.39691055126801128</v>
      </c>
      <c r="E15" s="3">
        <f>CORREL(Raw_Data!D:D, Raw_Data!H:H)</f>
        <v>1.5930756091495815E-2</v>
      </c>
      <c r="F15" t="e">
        <f>CORREL(Raw_Data!#REF!, Raw_Data!#REF!)</f>
        <v>#REF!</v>
      </c>
    </row>
    <row r="16" spans="1:6">
      <c r="A16" t="s">
        <v>42</v>
      </c>
      <c r="B16">
        <f>CORREL(Raw_Data!F:F, Raw_Data!D:D)</f>
        <v>0.51919283450106857</v>
      </c>
      <c r="C16">
        <f>CORREL(Raw_Data!F:F, Raw_Data!F:F)</f>
        <v>1.0000000000000002</v>
      </c>
      <c r="D16">
        <f>CORREL(Raw_Data!F:F, Raw_Data!G:G)</f>
        <v>0.76665114017763558</v>
      </c>
      <c r="E16" s="3">
        <f>CORREL(Raw_Data!F:F, Raw_Data!H:H)</f>
        <v>-1.445724235348167E-2</v>
      </c>
      <c r="F16" t="e">
        <f>CORREL(Raw_Data!#REF!, Raw_Data!#REF!)</f>
        <v>#REF!</v>
      </c>
    </row>
    <row r="17" spans="1:6">
      <c r="A17" t="s">
        <v>23</v>
      </c>
      <c r="B17">
        <f>CORREL(Raw_Data!G:G, Raw_Data!D:D)</f>
        <v>0.39691055126801128</v>
      </c>
      <c r="C17">
        <f>CORREL(Raw_Data!G:G, Raw_Data!F:F)</f>
        <v>0.76665114017763558</v>
      </c>
      <c r="D17">
        <f>CORREL(Raw_Data!G:G, Raw_Data!G:G)</f>
        <v>1</v>
      </c>
      <c r="E17">
        <f>CORREL(Raw_Data!G:G, Raw_Data!H:H)</f>
        <v>3.52908157009354E-3</v>
      </c>
      <c r="F17" t="e">
        <f>CORREL(Raw_Data!A:A, Raw_Data!#REF!)</f>
        <v>#REF!</v>
      </c>
    </row>
    <row r="18" spans="1:6">
      <c r="A18" t="s">
        <v>43</v>
      </c>
      <c r="B18">
        <f>CORREL(Raw_Data!H:H, Raw_Data!D:D)</f>
        <v>1.5930756091495815E-2</v>
      </c>
      <c r="C18">
        <f>CORREL(Raw_Data!H:H, Raw_Data!F:F)</f>
        <v>-1.445724235348167E-2</v>
      </c>
      <c r="D18">
        <f>CORREL(Raw_Data!H:H, Raw_Data!G:G)</f>
        <v>3.52908157009354E-3</v>
      </c>
      <c r="E18">
        <f>CORREL(Raw_Data!H:H, Raw_Data!H:H)</f>
        <v>1</v>
      </c>
      <c r="F18" t="e">
        <f>CORREL(Raw_Data!B:B, Raw_Data!#REF!)</f>
        <v>#REF!</v>
      </c>
    </row>
    <row r="19" spans="1:6">
      <c r="A19" t="s">
        <v>44</v>
      </c>
      <c r="B19">
        <f>CORREL(Raw_Data!B:B, Raw_Data!D:D)</f>
        <v>2.0738731806195627E-2</v>
      </c>
      <c r="C19">
        <f>CORREL(Raw_Data!B:B, Raw_Data!F:F)</f>
        <v>2.7314926178036193E-2</v>
      </c>
      <c r="D19">
        <f>CORREL(Raw_Data!B:B, Raw_Data!G:G)</f>
        <v>-5.4951957282698305E-4</v>
      </c>
      <c r="E19" t="s">
        <v>45</v>
      </c>
      <c r="F19">
        <f>CORREL(Raw_Data!B:B, Raw_Data!B:B)</f>
        <v>0.99999999999999989</v>
      </c>
    </row>
    <row r="22" spans="1:6">
      <c r="A22" t="s">
        <v>46</v>
      </c>
    </row>
    <row r="24" spans="1:6">
      <c r="A24" t="s">
        <v>47</v>
      </c>
      <c r="B24" t="s">
        <v>48</v>
      </c>
      <c r="C24" t="s">
        <v>49</v>
      </c>
    </row>
    <row r="25" spans="1:6">
      <c r="A25" t="s">
        <v>50</v>
      </c>
      <c r="B25">
        <f>INTERCEPT(Raw_Data!D:D, Raw_Data!F:F)</f>
        <v>1.7391280602605095</v>
      </c>
      <c r="C25">
        <f>ROUND(B25, 2)</f>
        <v>1.74</v>
      </c>
    </row>
    <row r="26" spans="1:6">
      <c r="A26" t="s">
        <v>51</v>
      </c>
      <c r="B26">
        <f>SLOPE(Raw_Data!D:D, Raw_Data!F:F)</f>
        <v>0.15919196837779434</v>
      </c>
      <c r="C26" t="str">
        <f>"+"&amp;ROUND(B26, 2)&amp;" hrs per °C"</f>
        <v>+0.16 hrs per °C</v>
      </c>
    </row>
    <row r="27" spans="1:6">
      <c r="A27" t="s">
        <v>52</v>
      </c>
      <c r="B27">
        <f>SLOPE(Raw_Data!D:D, Raw_Data!G:G)</f>
        <v>4.0040486643631759E-2</v>
      </c>
      <c r="C27" t="str">
        <f>ROUND(B27, 2)&amp;" hrs per %"</f>
        <v>0.04 hrs per %</v>
      </c>
    </row>
    <row r="28" spans="1:6">
      <c r="A28" t="s">
        <v>53</v>
      </c>
      <c r="B28">
        <f>SLOPE(Raw_Data!D:D, Raw_Data!H:H)</f>
        <v>1.3951315956539907E-2</v>
      </c>
      <c r="C28" t="str">
        <f>ROUND(B28, 2)&amp;" hrs per point"</f>
        <v>0.01 hrs per point</v>
      </c>
    </row>
    <row r="29" spans="1:6">
      <c r="A29" t="s">
        <v>54</v>
      </c>
      <c r="B29">
        <f>SLOPE(Raw_Data!D:D, Raw_Data!B:B)</f>
        <v>4.882724756459551E-3</v>
      </c>
      <c r="C29" t="str">
        <f>ROUND(B29, 2)&amp;" hrs per million"</f>
        <v>0 hrs per million</v>
      </c>
    </row>
    <row r="32" spans="1:6">
      <c r="A32" t="s">
        <v>55</v>
      </c>
    </row>
    <row r="34" spans="1:3">
      <c r="A34" t="s">
        <v>56</v>
      </c>
      <c r="B34">
        <f>AVERAGEIF(Raw_Data!G:G, "&gt;70", Raw_Data!D:D)</f>
        <v>7.8960784313725396</v>
      </c>
      <c r="C34">
        <f>COUNTIF(Raw_Data!G:G, "&gt;70")</f>
        <v>204</v>
      </c>
    </row>
    <row r="35" spans="1:3">
      <c r="A35" t="s">
        <v>57</v>
      </c>
      <c r="B35">
        <f>AVERAGEIF(Raw_Data!G:G, "&lt;50", Raw_Data!D:D)</f>
        <v>6.3698795180722874</v>
      </c>
      <c r="C35">
        <f>COUNTIF(Raw_Data!G:G, "&lt;50")</f>
        <v>83</v>
      </c>
    </row>
    <row r="38" spans="1:3">
      <c r="A38" t="s">
        <v>58</v>
      </c>
    </row>
    <row r="39" spans="1:3" ht="305.25">
      <c r="A39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2F13-8820-441D-A9CB-F0D2ADC65573}">
  <dimension ref="A2:P33"/>
  <sheetViews>
    <sheetView tabSelected="1" workbookViewId="0">
      <selection activeCell="B2" sqref="B2:H5"/>
    </sheetView>
  </sheetViews>
  <sheetFormatPr defaultRowHeight="15"/>
  <cols>
    <col min="1" max="1" width="12.5703125" style="5" bestFit="1" customWidth="1"/>
    <col min="2" max="2" width="46.28515625" style="5" bestFit="1" customWidth="1"/>
    <col min="3" max="3" width="15.28515625" style="5" bestFit="1" customWidth="1"/>
    <col min="4" max="4" width="35" style="5" bestFit="1" customWidth="1"/>
    <col min="5" max="5" width="15.28515625" style="5" bestFit="1" customWidth="1"/>
    <col min="6" max="6" width="43.140625" style="5" bestFit="1" customWidth="1"/>
    <col min="7" max="7" width="29.28515625" style="5" bestFit="1" customWidth="1"/>
    <col min="8" max="8" width="38.7109375" style="5" bestFit="1" customWidth="1"/>
    <col min="9" max="9" width="9.140625" style="5"/>
    <col min="10" max="10" width="19.28515625" style="5" bestFit="1" customWidth="1"/>
    <col min="11" max="14" width="9.140625" style="5"/>
    <col min="15" max="15" width="11.7109375" style="5" bestFit="1" customWidth="1"/>
    <col min="16" max="16" width="25.42578125" style="5" bestFit="1" customWidth="1"/>
    <col min="17" max="17" width="12.7109375" style="5" bestFit="1" customWidth="1"/>
    <col min="18" max="16384" width="9.140625" style="5"/>
  </cols>
  <sheetData>
    <row r="2" spans="2:16" ht="18">
      <c r="B2" s="10" t="s">
        <v>13</v>
      </c>
      <c r="C2" s="11" t="s">
        <v>60</v>
      </c>
      <c r="D2" s="10" t="s">
        <v>61</v>
      </c>
      <c r="E2" s="11" t="s">
        <v>62</v>
      </c>
      <c r="F2" s="10" t="s">
        <v>63</v>
      </c>
      <c r="G2" s="11" t="s">
        <v>64</v>
      </c>
      <c r="H2" s="10" t="s">
        <v>65</v>
      </c>
    </row>
    <row r="3" spans="2:16" ht="18">
      <c r="B3" s="10" t="s">
        <v>66</v>
      </c>
      <c r="C3" s="11"/>
      <c r="D3" s="10" t="s">
        <v>67</v>
      </c>
      <c r="E3" s="11"/>
      <c r="F3" s="10" t="s">
        <v>68</v>
      </c>
      <c r="G3" s="11"/>
      <c r="H3" s="10" t="s">
        <v>69</v>
      </c>
    </row>
    <row r="4" spans="2:16" ht="31.5">
      <c r="B4" s="4">
        <f>Analysis!B4</f>
        <v>7.0363999999999942</v>
      </c>
      <c r="D4" s="4">
        <f>INDEX(Raw_Data!F:F, MATCH(MAX(Raw_Data!F:F), Raw_Data!F:F, 0))</f>
        <v>45</v>
      </c>
      <c r="F4" s="8">
        <f>Analysis!D4</f>
        <v>64.823999999999998</v>
      </c>
      <c r="H4" s="9">
        <f>COUNTIF(Raw_Data!J:J, "Critical")</f>
        <v>13</v>
      </c>
    </row>
    <row r="5" spans="2:16">
      <c r="B5" s="6" t="s">
        <v>70</v>
      </c>
      <c r="D5" s="5" t="s">
        <v>71</v>
      </c>
      <c r="F5" s="5" t="s">
        <v>72</v>
      </c>
      <c r="H5" s="5" t="s">
        <v>73</v>
      </c>
    </row>
    <row r="6" spans="2:16">
      <c r="O6" s="5" t="s">
        <v>0</v>
      </c>
      <c r="P6" s="5" t="s">
        <v>74</v>
      </c>
    </row>
    <row r="7" spans="2:16">
      <c r="O7" s="5" t="s">
        <v>29</v>
      </c>
      <c r="P7" s="7">
        <v>7.0571428571428561</v>
      </c>
    </row>
    <row r="8" spans="2:16">
      <c r="B8" s="5" t="s">
        <v>42</v>
      </c>
      <c r="C8" s="5" t="s">
        <v>23</v>
      </c>
      <c r="D8" s="5" t="s">
        <v>43</v>
      </c>
      <c r="E8" s="5" t="s">
        <v>44</v>
      </c>
      <c r="O8" s="5" t="s">
        <v>34</v>
      </c>
      <c r="P8" s="7">
        <v>7.4411764705882346</v>
      </c>
    </row>
    <row r="9" spans="2:16">
      <c r="B9" s="5">
        <f>CORREL(Raw_Data!D:D, Raw_Data!F:F)</f>
        <v>0.51919283450106857</v>
      </c>
      <c r="C9" s="5">
        <f>CORREL(Raw_Data!C:C, Raw_Data!F:F)</f>
        <v>5.2024402507684406E-2</v>
      </c>
      <c r="D9" s="5">
        <f>CORREL(Raw_Data!C:C, Raw_Data!G:G)</f>
        <v>7.4437938732135153E-2</v>
      </c>
      <c r="E9" s="5">
        <f>CORREL(Raw_Data!D:D, Raw_Data!B:B)</f>
        <v>2.0738731806195627E-2</v>
      </c>
      <c r="O9" s="5" t="s">
        <v>35</v>
      </c>
      <c r="P9" s="7">
        <v>7.4206896551724144</v>
      </c>
    </row>
    <row r="10" spans="2:16">
      <c r="O10" s="5" t="s">
        <v>22</v>
      </c>
      <c r="P10" s="7">
        <v>7.0051282051282051</v>
      </c>
    </row>
    <row r="11" spans="2:16">
      <c r="O11" s="5" t="s">
        <v>15</v>
      </c>
      <c r="P11" s="7">
        <v>7.1264705882352937</v>
      </c>
    </row>
    <row r="12" spans="2:16">
      <c r="O12" s="5" t="s">
        <v>33</v>
      </c>
      <c r="P12" s="7">
        <v>7.1129032258064528</v>
      </c>
    </row>
    <row r="13" spans="2:16">
      <c r="O13" s="5" t="s">
        <v>30</v>
      </c>
      <c r="P13" s="7">
        <v>7</v>
      </c>
    </row>
    <row r="14" spans="2:16">
      <c r="O14" s="5" t="s">
        <v>25</v>
      </c>
      <c r="P14" s="7">
        <v>7.0823529411764703</v>
      </c>
    </row>
    <row r="15" spans="2:16">
      <c r="O15" s="5" t="s">
        <v>36</v>
      </c>
      <c r="P15" s="7">
        <v>7.5260869565217385</v>
      </c>
    </row>
    <row r="16" spans="2:16">
      <c r="O16" s="5" t="s">
        <v>24</v>
      </c>
      <c r="P16" s="7">
        <v>7.0352941176470587</v>
      </c>
    </row>
    <row r="17" spans="1:16">
      <c r="O17" s="5" t="s">
        <v>75</v>
      </c>
      <c r="P17" s="7">
        <v>7.1650154798761445</v>
      </c>
    </row>
    <row r="28" spans="1:16">
      <c r="A28" s="5" t="s">
        <v>56</v>
      </c>
      <c r="B28" s="5">
        <f>AVERAGEIF(Raw_Data!G:G, "&gt;70", Raw_Data!D:D)</f>
        <v>7.8960784313725396</v>
      </c>
      <c r="C28" s="5">
        <f>COUNTIF(Raw_Data!G:G, "&gt;70")</f>
        <v>204</v>
      </c>
      <c r="H28" s="5" t="s">
        <v>41</v>
      </c>
      <c r="I28" s="5" t="s">
        <v>42</v>
      </c>
      <c r="J28" s="5" t="s">
        <v>23</v>
      </c>
      <c r="K28" s="5" t="s">
        <v>43</v>
      </c>
      <c r="L28" s="5" t="s">
        <v>44</v>
      </c>
    </row>
    <row r="29" spans="1:16">
      <c r="A29" s="5" t="s">
        <v>57</v>
      </c>
      <c r="B29" s="5">
        <f>AVERAGEIF(Raw_Data!G:G, "&lt;50", Raw_Data!D:D)</f>
        <v>6.3698795180722874</v>
      </c>
      <c r="C29" s="5">
        <f>COUNTIF(Raw_Data!G:G, "&lt;50")</f>
        <v>83</v>
      </c>
      <c r="G29" s="5" t="s">
        <v>41</v>
      </c>
      <c r="H29" s="5">
        <f>CORREL(Raw_Data!D:D, Raw_Data!D:D)</f>
        <v>1</v>
      </c>
      <c r="I29" s="5">
        <f>CORREL(Raw_Data!D:D, Raw_Data!F:F)</f>
        <v>0.51919283450106857</v>
      </c>
      <c r="J29" s="5">
        <f>CORREL(Raw_Data!D:D, Raw_Data!G:G)</f>
        <v>0.39691055126801128</v>
      </c>
      <c r="K29" s="5">
        <f>CORREL(Raw_Data!D:D, Raw_Data!H:H)</f>
        <v>1.5930756091495815E-2</v>
      </c>
      <c r="L29" s="5">
        <f>CORREL(Raw_Data!D:D, Raw_Data!B:B)</f>
        <v>2.0738731806195627E-2</v>
      </c>
    </row>
    <row r="30" spans="1:16">
      <c r="G30" s="5" t="s">
        <v>42</v>
      </c>
      <c r="H30" s="5">
        <f>CORREL(Raw_Data!F:F, Raw_Data!D:D)</f>
        <v>0.51919283450106857</v>
      </c>
      <c r="I30" s="5">
        <f>CORREL(Raw_Data!L:L, Raw_Data!L:L)</f>
        <v>0.99999999999999989</v>
      </c>
      <c r="J30" s="5">
        <f>CORREL(Raw_Data!F:F, Raw_Data!G:G)</f>
        <v>0.76665114017763558</v>
      </c>
      <c r="K30" s="5">
        <f>CORREL(Raw_Data!F:F, Raw_Data!H:H)</f>
        <v>-1.445724235348167E-2</v>
      </c>
      <c r="L30" s="5">
        <f>CORREL(Raw_Data!F:F, Raw_Data!B:B)</f>
        <v>2.7314926178036193E-2</v>
      </c>
    </row>
    <row r="31" spans="1:16">
      <c r="G31" s="5" t="s">
        <v>23</v>
      </c>
      <c r="H31" s="5">
        <f>CORREL(Raw_Data!G:G, Raw_Data!D:D)</f>
        <v>0.39691055126801128</v>
      </c>
      <c r="I31" s="5">
        <f>CORREL(Raw_Data!G:G, Raw_Data!F:F)</f>
        <v>0.76665114017763558</v>
      </c>
      <c r="J31" s="5">
        <f>CORREL(Raw_Data!G:G, Raw_Data!G:G)</f>
        <v>1</v>
      </c>
      <c r="K31" s="5">
        <f>CORREL(Raw_Data!G:G, Raw_Data!H:H)</f>
        <v>3.52908157009354E-3</v>
      </c>
      <c r="L31" s="5">
        <f>CORREL(Raw_Data!G:G, Raw_Data!B:B)</f>
        <v>-5.4951957282698305E-4</v>
      </c>
    </row>
    <row r="32" spans="1:16">
      <c r="G32" s="5" t="s">
        <v>43</v>
      </c>
      <c r="H32" s="5">
        <f>CORREL(Raw_Data!H:H, Raw_Data!D:D)</f>
        <v>1.5930756091495815E-2</v>
      </c>
      <c r="I32" s="5">
        <f>CORREL(Raw_Data!H:H, Raw_Data!F:F)</f>
        <v>-1.445724235348167E-2</v>
      </c>
      <c r="J32" s="5">
        <f>CORREL(Raw_Data!H:H, Raw_Data!G:G)</f>
        <v>3.52908157009354E-3</v>
      </c>
      <c r="K32" s="5">
        <f>CORREL(Raw_Data!N:N, Raw_Data!N:N)</f>
        <v>1.0000000000000002</v>
      </c>
      <c r="L32" s="5">
        <f>CORREL(Raw_Data!H:H, Raw_Data!B:B)</f>
        <v>0.69087118702114558</v>
      </c>
    </row>
    <row r="33" spans="7:12">
      <c r="G33" s="5" t="s">
        <v>44</v>
      </c>
      <c r="H33" s="5">
        <f>CORREL(Raw_Data!B:B, Raw_Data!D:D)</f>
        <v>2.0738731806195627E-2</v>
      </c>
      <c r="I33" s="5">
        <f>CORREL(Raw_Data!B:B, Raw_Data!F:F)</f>
        <v>2.7314926178036193E-2</v>
      </c>
      <c r="J33" s="5">
        <f>CORREL(Raw_Data!B:B, Raw_Data!G:G)</f>
        <v>-5.4951957282698305E-4</v>
      </c>
      <c r="K33" s="5">
        <f>CORREL(Raw_Data!B:B, Raw_Data!H:H)</f>
        <v>0.69087118702114558</v>
      </c>
      <c r="L33" s="5">
        <f>CORREL(Raw_Data!H:H, Raw_Data!H:H)</f>
        <v>1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2026-09-03T11:59:06Z</dcterms:created>
  <dcterms:modified xsi:type="dcterms:W3CDTF">2026-09-04T17:35:51Z</dcterms:modified>
  <cp:category/>
  <cp:contentStatus/>
</cp:coreProperties>
</file>